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<sst xmlns="http://schemas.openxmlformats.org/spreadsheetml/2006/main" count="316" uniqueCount="226">
  <si>
    <t>SKU</t>
  </si>
  <si>
    <t>DOSSIER IMAGE</t>
  </si>
  <si>
    <t>VRAI COULEURS</t>
  </si>
  <si>
    <t>Taille</t>
  </si>
  <si>
    <t>Couleurs SKU</t>
  </si>
  <si>
    <t>Dossier Image</t>
  </si>
  <si>
    <t>Vrai couleurs</t>
  </si>
  <si>
    <t>Dossier image</t>
  </si>
  <si>
    <t>Vrai Couleur</t>
  </si>
  <si>
    <t>Vrais couleurs</t>
  </si>
  <si>
    <t>COULEURS SKU</t>
  </si>
  <si>
    <t>Column 4</t>
  </si>
  <si>
    <t>GY0020-3BLK</t>
  </si>
  <si>
    <t>GY0020-BLK</t>
  </si>
  <si>
    <t>GYTK01-1BLK</t>
  </si>
  <si>
    <t>Trunk JPG</t>
  </si>
  <si>
    <t>GY0060-2BLK</t>
  </si>
  <si>
    <t>A FAIRE</t>
  </si>
  <si>
    <t>GYL0160-3DRE</t>
  </si>
  <si>
    <t xml:space="preserve">GY0080-3BLK </t>
  </si>
  <si>
    <t>GY0020-3BLUK</t>
  </si>
  <si>
    <t>GY0020-BLEUL</t>
  </si>
  <si>
    <t>GYTK01-1CHA</t>
  </si>
  <si>
    <t>TRUNK JPG</t>
  </si>
  <si>
    <t>GY0060-2CHA</t>
  </si>
  <si>
    <t>CHA</t>
  </si>
  <si>
    <t>GYL0160-3NAV</t>
  </si>
  <si>
    <t xml:space="preserve">GY0080-3CHA </t>
  </si>
  <si>
    <t>GY0020-3CHA</t>
  </si>
  <si>
    <t>GY0020-CHA</t>
  </si>
  <si>
    <t>GYTK01-1DRE</t>
  </si>
  <si>
    <t>JPG</t>
  </si>
  <si>
    <t>GY0060-2DGR</t>
  </si>
  <si>
    <t>DGR</t>
  </si>
  <si>
    <t>GYL0160-3SAP</t>
  </si>
  <si>
    <t xml:space="preserve">GY0080-3NAV </t>
  </si>
  <si>
    <t>GY0020-3DORA</t>
  </si>
  <si>
    <t>GY0020-ORA</t>
  </si>
  <si>
    <t>GYTK01-1PGD</t>
  </si>
  <si>
    <t>GY0060-2DORA</t>
  </si>
  <si>
    <t>DORA</t>
  </si>
  <si>
    <t>GYL0160-3SLV</t>
  </si>
  <si>
    <t>GY0080-3ORA</t>
  </si>
  <si>
    <t>GY0020-3DYWL</t>
  </si>
  <si>
    <t>GY0020-DYML</t>
  </si>
  <si>
    <t>GYTK01-1SAP</t>
  </si>
  <si>
    <t>GY0060-2DRE</t>
  </si>
  <si>
    <t>GYL0160-LSAP</t>
  </si>
  <si>
    <t xml:space="preserve">GY0080-3PGD </t>
  </si>
  <si>
    <t>GY0020-3FSH</t>
  </si>
  <si>
    <t>GY0020-FSH</t>
  </si>
  <si>
    <t>GYTK01-1SILVER</t>
  </si>
  <si>
    <t>GY0060-2NAV</t>
  </si>
  <si>
    <t>GYL0160-MPGD</t>
  </si>
  <si>
    <t xml:space="preserve">GY0080-3RED </t>
  </si>
  <si>
    <t>GY0020-3NAV</t>
  </si>
  <si>
    <t>GY0020-NAV</t>
  </si>
  <si>
    <t>GYTK002-1DRE</t>
  </si>
  <si>
    <t>GY0060-2PGD</t>
  </si>
  <si>
    <t>GYL0160-SSAP</t>
  </si>
  <si>
    <t xml:space="preserve">GY0080-3SAP </t>
  </si>
  <si>
    <t>GY0020-3ORA</t>
  </si>
  <si>
    <t>GYTK002-1NUD</t>
  </si>
  <si>
    <t>GYTK02-1NUD</t>
  </si>
  <si>
    <t>Nude (rose clair)</t>
  </si>
  <si>
    <t>GY0060-2SAB</t>
  </si>
  <si>
    <t>SAB</t>
  </si>
  <si>
    <t xml:space="preserve">GY0080-3SLV </t>
  </si>
  <si>
    <t>GY0020-3RED</t>
  </si>
  <si>
    <t>GY0020-RED</t>
  </si>
  <si>
    <t>GYTK002-1SAP</t>
  </si>
  <si>
    <t>GY0060-2SAP</t>
  </si>
  <si>
    <t>GY0080-LBLK</t>
  </si>
  <si>
    <t>GY0020-3SAP</t>
  </si>
  <si>
    <t>GY0020-SAP</t>
  </si>
  <si>
    <t>GYTK002-1SILVER</t>
  </si>
  <si>
    <t>GY0060-2SLV</t>
  </si>
  <si>
    <t>SLV</t>
  </si>
  <si>
    <t>GY0080-LCHA</t>
  </si>
  <si>
    <t>GY0020-3SLV</t>
  </si>
  <si>
    <t>GY0020-SLV</t>
  </si>
  <si>
    <t xml:space="preserve">GYTK02-1BLK </t>
  </si>
  <si>
    <t>GY0060-2VEU</t>
  </si>
  <si>
    <t>VEU</t>
  </si>
  <si>
    <t>GY0080-LNAV</t>
  </si>
  <si>
    <t>GY0020-3VEU</t>
  </si>
  <si>
    <t>GYTK02-1BLUG</t>
  </si>
  <si>
    <t>Bleu Grisé</t>
  </si>
  <si>
    <t>GY0060-3BLK</t>
  </si>
  <si>
    <t>BLK</t>
  </si>
  <si>
    <t>GY0080-LORA</t>
  </si>
  <si>
    <t>GY0020-LBLK</t>
  </si>
  <si>
    <t>GYTK02-1CHA</t>
  </si>
  <si>
    <t>GY0060-3BLU</t>
  </si>
  <si>
    <t>BLUE</t>
  </si>
  <si>
    <t>GY0080-LPGD</t>
  </si>
  <si>
    <t>GY0020-LBLUK</t>
  </si>
  <si>
    <t xml:space="preserve">GYTK02-1DRE </t>
  </si>
  <si>
    <t>GY0060-3BRW</t>
  </si>
  <si>
    <t>BRW</t>
  </si>
  <si>
    <t>ORANGE</t>
  </si>
  <si>
    <t>Marron</t>
  </si>
  <si>
    <t>GY0080-LRED</t>
  </si>
  <si>
    <t>GY0020-LCHA</t>
  </si>
  <si>
    <t>GY0060-3CHA</t>
  </si>
  <si>
    <t>GY0080-LSAP</t>
  </si>
  <si>
    <t>GY0020-LDORA</t>
  </si>
  <si>
    <t>GYTK02-1PGD</t>
  </si>
  <si>
    <t>GY0060-3DGR</t>
  </si>
  <si>
    <t>GRIS FONCE</t>
  </si>
  <si>
    <t>GY0080-LSLV</t>
  </si>
  <si>
    <t>GY0020-LDYWL</t>
  </si>
  <si>
    <t xml:space="preserve">GYTK02-1SAP </t>
  </si>
  <si>
    <t>GY0060-3DGREEN</t>
  </si>
  <si>
    <t>DGREEN</t>
  </si>
  <si>
    <t>BLEU</t>
  </si>
  <si>
    <t>GY0080-MBLK</t>
  </si>
  <si>
    <t>GY0020-LFSH</t>
  </si>
  <si>
    <t xml:space="preserve">GYTK02-1SILVER </t>
  </si>
  <si>
    <t>GY0060-3MIN</t>
  </si>
  <si>
    <t>MIN</t>
  </si>
  <si>
    <t>GY0080-MCHA</t>
  </si>
  <si>
    <t>GY0020-LNAV</t>
  </si>
  <si>
    <t>GYTKG002-1BLK</t>
  </si>
  <si>
    <t>GY0060-3NAV</t>
  </si>
  <si>
    <t>NAVY</t>
  </si>
  <si>
    <t>GY0080-MNAV</t>
  </si>
  <si>
    <t>GY0020-LORA</t>
  </si>
  <si>
    <t>GYTKG002-1BLUG</t>
  </si>
  <si>
    <t>GY0060-3PGD</t>
  </si>
  <si>
    <t>PGD</t>
  </si>
  <si>
    <t>GY0080-MORA</t>
  </si>
  <si>
    <t>GY0020-LRED</t>
  </si>
  <si>
    <t>GY0060-3SAP</t>
  </si>
  <si>
    <t>SAP LOT DE 3</t>
  </si>
  <si>
    <t>GY0080-MPGD</t>
  </si>
  <si>
    <t>GY0020-LREDP</t>
  </si>
  <si>
    <t>GY0060-3SLV</t>
  </si>
  <si>
    <t>GY0080-MPNK</t>
  </si>
  <si>
    <t>GY0020-LSAP</t>
  </si>
  <si>
    <t>GY0200-2BLK</t>
  </si>
  <si>
    <t>GY0080-MRED</t>
  </si>
  <si>
    <t>GY0020-LSLV</t>
  </si>
  <si>
    <t>GY0200-2CHA</t>
  </si>
  <si>
    <t>GY0080-MSAP</t>
  </si>
  <si>
    <t>GY0020-LVEU</t>
  </si>
  <si>
    <t>GY0200-2DRE</t>
  </si>
  <si>
    <t>GY0080-MSLV</t>
  </si>
  <si>
    <t>GY0020-MBLK</t>
  </si>
  <si>
    <t>GY0200-2ORA</t>
  </si>
  <si>
    <t>ORA</t>
  </si>
  <si>
    <t>GY0080-SBLK</t>
  </si>
  <si>
    <t>GY0020-MBLU</t>
  </si>
  <si>
    <t>GY0200-2PGD</t>
  </si>
  <si>
    <t>GY0200-2PGD.jpeg</t>
  </si>
  <si>
    <t>GY0080-SBLU</t>
  </si>
  <si>
    <t>GY0020-MBLUK</t>
  </si>
  <si>
    <t>GY0200-2SAP</t>
  </si>
  <si>
    <t>SAP LOT DE 2</t>
  </si>
  <si>
    <t>GY0080-SCHA</t>
  </si>
  <si>
    <t>GY0020-MCHA</t>
  </si>
  <si>
    <t>GY0200-2SLV</t>
  </si>
  <si>
    <t>GY0080-SNAV</t>
  </si>
  <si>
    <t>GY0020-MDORA</t>
  </si>
  <si>
    <t>GY0200-3DRE</t>
  </si>
  <si>
    <t>GY0080-SORA</t>
  </si>
  <si>
    <t>GY0020-MDYLW</t>
  </si>
  <si>
    <t>GY0200-3NUD</t>
  </si>
  <si>
    <t>GY0080-SPGD</t>
  </si>
  <si>
    <t>GY0020-MDYWL</t>
  </si>
  <si>
    <t>GY0200-3ORP</t>
  </si>
  <si>
    <t>GY0080-SRED</t>
  </si>
  <si>
    <t>GY0020-MFSH</t>
  </si>
  <si>
    <t>GY0101AU-3NAV</t>
  </si>
  <si>
    <t>GY0080-SSAP</t>
  </si>
  <si>
    <t>GY0020-MMIN</t>
  </si>
  <si>
    <t>GY0020-MIN</t>
  </si>
  <si>
    <t>GY0080-SSLV</t>
  </si>
  <si>
    <t>GY0020-MNAV</t>
  </si>
  <si>
    <t>GY00824-2PGD</t>
  </si>
  <si>
    <t>GY0020-MORA</t>
  </si>
  <si>
    <t>GY00824-2RED</t>
  </si>
  <si>
    <t>GY0020-MRED</t>
  </si>
  <si>
    <t>GY00824-2SLV</t>
  </si>
  <si>
    <t>GY0020-MREDP</t>
  </si>
  <si>
    <t>GY00824-3BLK</t>
  </si>
  <si>
    <t>GY0020-MSAP</t>
  </si>
  <si>
    <t>GY00824-3CHA</t>
  </si>
  <si>
    <t>GY0020-MSLV</t>
  </si>
  <si>
    <t>GY00824-3NAV</t>
  </si>
  <si>
    <t>GY0020-MVEU</t>
  </si>
  <si>
    <t>GY00824-3PGD</t>
  </si>
  <si>
    <t>GY0020-MWHT</t>
  </si>
  <si>
    <t>GY0020-WHT</t>
  </si>
  <si>
    <t>GY00824-3RED</t>
  </si>
  <si>
    <t>GY0020-SBLEU</t>
  </si>
  <si>
    <t>GY00824-3SAP</t>
  </si>
  <si>
    <t>GY0020-SBLEUL</t>
  </si>
  <si>
    <t>GY00824-3SLV</t>
  </si>
  <si>
    <t>GY0020-SBLK</t>
  </si>
  <si>
    <t>GY00824-LORA</t>
  </si>
  <si>
    <t>GY0020-SBLUK</t>
  </si>
  <si>
    <t>GY00824-LRED</t>
  </si>
  <si>
    <t>GY0020-SCHA</t>
  </si>
  <si>
    <t>GY00824-LSLV</t>
  </si>
  <si>
    <t>GY0020-SDORA</t>
  </si>
  <si>
    <t>GY00824-MBLK</t>
  </si>
  <si>
    <t>GY0020-SDRE</t>
  </si>
  <si>
    <t>GY0020-DRE</t>
  </si>
  <si>
    <t>GY00824-MORA</t>
  </si>
  <si>
    <t>GY0020-SDYWL</t>
  </si>
  <si>
    <t>GY00824-MRED</t>
  </si>
  <si>
    <t>GY0020-SFSH</t>
  </si>
  <si>
    <t>GY00824-MSAP</t>
  </si>
  <si>
    <t>GY0020-SMIN</t>
  </si>
  <si>
    <t>GY00824-MSLV</t>
  </si>
  <si>
    <t>GY0020-SNAV</t>
  </si>
  <si>
    <t>GY00824-SRED</t>
  </si>
  <si>
    <t>GY0020-SORA</t>
  </si>
  <si>
    <t xml:space="preserve">GY00824-SSLV </t>
  </si>
  <si>
    <t>GY0020-SRED</t>
  </si>
  <si>
    <t>GY0020-SREDP</t>
  </si>
  <si>
    <t>ROUGE</t>
  </si>
  <si>
    <t>GY0020-SSAP</t>
  </si>
  <si>
    <t>GY0020-SSLV</t>
  </si>
  <si>
    <t>GY0020-SVEU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</si>
</sst>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u/>
      <color theme="1"/>
      <name val="Arial"/>
      <scheme val="minor"/>
    </font>
    <font>
      <u/>
      <color rgb="FF434343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0" displayName="CONV" name="CONV" id="1">
  <tableColumns count="5">
    <tableColumn name="SKU" id="1"/>
    <tableColumn name="DOSSIER IMAGE" id="2"/>
    <tableColumn name="VRAI COULEURS" id="3"/>
    <tableColumn name="Taille" id="4"/>
    <tableColumn name="Couleurs SKU" id="5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G1:K21" displayName="TRUNK" name="TRUNK" id="2">
  <tableColumns count="5">
    <tableColumn name="SKU" id="1"/>
    <tableColumn name="Dossier Image" id="2"/>
    <tableColumn name="Vrai couleurs" id="3"/>
    <tableColumn name="Taille" id="4"/>
    <tableColumn name="Couleurs SKU" id="5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ref="M1:Q35" displayName="INTEMPORELLES" name="INTEMPORELLES" id="3">
  <tableColumns count="5">
    <tableColumn name="SKU" id="1"/>
    <tableColumn name="Dossier image" id="2"/>
    <tableColumn name="Vrai Couleur" id="3"/>
    <tableColumn name="Vrais couleurs" id="4"/>
    <tableColumn name="COULEURS SKU" id="5"/>
  </tableColumns>
  <tableStyleInfo name="Feuille 1-style 3" showColumnStripes="0" showFirstColumn="1" showLastColumn="1" showRowStripes="1"/>
</table>
</file>

<file path=xl/tables/table4.xml><?xml version="1.0" encoding="utf-8"?>
<table xmlns="http://schemas.openxmlformats.org/spreadsheetml/2006/main" ref="S1:V8" displayName="EVASION" name="EVASION" id="4">
  <tableColumns count="4">
    <tableColumn name="SKU" id="1"/>
    <tableColumn name="Dossier Image" id="2"/>
    <tableColumn name="Vrais couleurs" id="3"/>
    <tableColumn name="Column 4" id="4"/>
  </tableColumns>
  <tableStyleInfo name="Feuille 1-style 4" showColumnStripes="0" showFirstColumn="1" showLastColumn="1" showRowStripes="1"/>
</table>
</file>

<file path=xl/tables/table5.xml><?xml version="1.0" encoding="utf-8"?>
<table xmlns="http://schemas.openxmlformats.org/spreadsheetml/2006/main" ref="X1:AA55" displayName="SIGNATURE" name="SIGNATURE" id="5">
  <tableColumns count="4">
    <tableColumn name="SKU" id="1"/>
    <tableColumn name="Dossier Image" id="2"/>
    <tableColumn name="Vrais couleurs" id="3"/>
    <tableColumn name="Taille" id="4"/>
  </tableColumns>
  <tableStyleInfo name="Feuille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WeynYWgjxpYaQLIAGe1Pkr85vUeggwek" TargetMode="External"/><Relationship Id="rId42" Type="http://schemas.openxmlformats.org/officeDocument/2006/relationships/hyperlink" Target="https://drive.google.com/drive/folders/1H8vZUxeojXapEiRW0xRDv1G57VNSOUtC" TargetMode="External"/><Relationship Id="rId41" Type="http://schemas.openxmlformats.org/officeDocument/2006/relationships/hyperlink" Target="https://drive.google.com/drive/folders/1sHA8HIjXZ8guQTHuLQ0rt7-2xF9vDZ-h" TargetMode="External"/><Relationship Id="rId44" Type="http://schemas.openxmlformats.org/officeDocument/2006/relationships/hyperlink" Target="https://drive.google.com/drive/folders/1c-fQydvElvumbm2-MxmNtVSTEDaR9Jmr" TargetMode="External"/><Relationship Id="rId43" Type="http://schemas.openxmlformats.org/officeDocument/2006/relationships/hyperlink" Target="https://drive.google.com/drive/folders/1vgtzL25OTPWXORyWGTh6YAYuqkXgls2Q" TargetMode="External"/><Relationship Id="rId46" Type="http://schemas.openxmlformats.org/officeDocument/2006/relationships/hyperlink" Target="https://drive.google.com/drive/folders/1eFjwtXw3dFlN-eFOO9iiJyObv6rJLzeg" TargetMode="External"/><Relationship Id="rId45" Type="http://schemas.openxmlformats.org/officeDocument/2006/relationships/hyperlink" Target="https://drive.google.com/drive/folders/1U-SAMzA6VuTAgs6We-pCKJu-MnT6wwI0" TargetMode="External"/><Relationship Id="rId107" Type="http://schemas.openxmlformats.org/officeDocument/2006/relationships/table" Target="../tables/table1.xml"/><Relationship Id="rId109" Type="http://schemas.openxmlformats.org/officeDocument/2006/relationships/table" Target="../tables/table3.xml"/><Relationship Id="rId108" Type="http://schemas.openxmlformats.org/officeDocument/2006/relationships/table" Target="../tables/table2.xml"/><Relationship Id="rId48" Type="http://schemas.openxmlformats.org/officeDocument/2006/relationships/hyperlink" Target="https://drive.google.com/drive/folders/1M8iwxTwbR4uuqvaHiA9fB7AcTWrTfPGe" TargetMode="External"/><Relationship Id="rId47" Type="http://schemas.openxmlformats.org/officeDocument/2006/relationships/hyperlink" Target="https://drive.google.com/drive/folders/1tOz6YIsqFsm71x2W0Gw9Y4gt8VmS89Jr" TargetMode="External"/><Relationship Id="rId49" Type="http://schemas.openxmlformats.org/officeDocument/2006/relationships/hyperlink" Target="https://drive.google.com/drive/folders/1cw80Bt1MaDBsQnyXHCeA73zUUE2Eb-V9?usp=drive_link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drive.google.com/drive/folders/1mFA0ZPZL1gzBQau3IjKUsBhpE4hR36U8?usp=drive_link" TargetMode="External"/><Relationship Id="rId31" Type="http://schemas.openxmlformats.org/officeDocument/2006/relationships/hyperlink" Target="https://drive.google.com/drive/folders/1n3qnNIwsXdn483nL1PWEgsrXjmQMMN77?usp=drive_link" TargetMode="External"/><Relationship Id="rId30" Type="http://schemas.openxmlformats.org/officeDocument/2006/relationships/hyperlink" Target="https://drive.google.com/drive/folders/1SkuywvIDZSVIaDbxV2Zuwld41F1ZXfFS" TargetMode="External"/><Relationship Id="rId33" Type="http://schemas.openxmlformats.org/officeDocument/2006/relationships/hyperlink" Target="https://drive.google.com/drive/folders/1SfKt3N_PRajzikmYcOLRrULkSd0ufskm" TargetMode="External"/><Relationship Id="rId32" Type="http://schemas.openxmlformats.org/officeDocument/2006/relationships/hyperlink" Target="https://drive.google.com/drive/folders/1kiSrLDkZjfDd6TIEnq7Bt0c5sQVEGSvo" TargetMode="External"/><Relationship Id="rId35" Type="http://schemas.openxmlformats.org/officeDocument/2006/relationships/hyperlink" Target="https://drive.google.com/drive/folders/1OFh-ZLdOeNVSRBqn0BrfNMWSQ2YWgw8f" TargetMode="External"/><Relationship Id="rId34" Type="http://schemas.openxmlformats.org/officeDocument/2006/relationships/hyperlink" Target="https://drive.google.com/drive/folders/1l-0N45wZajdgfsiptBEBBG8Lxp5b4iXI" TargetMode="External"/><Relationship Id="rId37" Type="http://schemas.openxmlformats.org/officeDocument/2006/relationships/hyperlink" Target="https://drive.google.com/drive/folders/1xCDCL1jLajxVG_PR7UaMQswC8MOcXfNO" TargetMode="External"/><Relationship Id="rId36" Type="http://schemas.openxmlformats.org/officeDocument/2006/relationships/hyperlink" Target="https://drive.google.com/drive/folders/1_P5WMRX8fHo8KyLFHryfg81PTZyQxMKP" TargetMode="External"/><Relationship Id="rId39" Type="http://schemas.openxmlformats.org/officeDocument/2006/relationships/hyperlink" Target="https://drive.google.com/drive/folders/1xH8AjQ4C_Pz6GkIVEcBABkWJ3tew_H4V" TargetMode="External"/><Relationship Id="rId38" Type="http://schemas.openxmlformats.org/officeDocument/2006/relationships/hyperlink" Target="https://drive.google.com/drive/folders/1_ScbpzB8v5SPxbJFHzp14q5Utt5C7CjY" TargetMode="External"/><Relationship Id="rId20" Type="http://schemas.openxmlformats.org/officeDocument/2006/relationships/hyperlink" Target="https://drive.google.com/drive/folders/1gBDySaPBgkWXUCCOniJnv9t_sq2G6rct" TargetMode="External"/><Relationship Id="rId22" Type="http://schemas.openxmlformats.org/officeDocument/2006/relationships/hyperlink" Target="https://drive.google.com/drive/folders/1U-SAMzA6VuTAgs6We-pCKJu-MnT6wwI0" TargetMode="External"/><Relationship Id="rId21" Type="http://schemas.openxmlformats.org/officeDocument/2006/relationships/hyperlink" Target="https://drive.google.com/drive/folders/1DmNtOAyBmFioNFIlToqqv7BSf25HqHdr?usp=drive_link" TargetMode="External"/><Relationship Id="rId24" Type="http://schemas.openxmlformats.org/officeDocument/2006/relationships/hyperlink" Target="https://drive.google.com/drive/folders/1M8iwxTwbR4uuqvaHiA9fB7AcTWrTfPGe" TargetMode="External"/><Relationship Id="rId23" Type="http://schemas.openxmlformats.org/officeDocument/2006/relationships/hyperlink" Target="https://drive.google.com/drive/folders/1YCNcDTttyJOpQoWy1KcPTbS01c6Y2CHY" TargetMode="External"/><Relationship Id="rId26" Type="http://schemas.openxmlformats.org/officeDocument/2006/relationships/hyperlink" Target="https://drive.google.com/drive/folders/1scPrNLNASZanALfUyeog07JyTddkmi4b" TargetMode="External"/><Relationship Id="rId25" Type="http://schemas.openxmlformats.org/officeDocument/2006/relationships/hyperlink" Target="https://drive.google.com/drive/folders/17fAHkCI_TvFfPu5wjHdaZxDqqhFDtFXB" TargetMode="External"/><Relationship Id="rId28" Type="http://schemas.openxmlformats.org/officeDocument/2006/relationships/hyperlink" Target="https://drive.google.com/drive/folders/1-H3_gQ3_ZOvIKP2LSkfwo7LCqZ5bSLig" TargetMode="External"/><Relationship Id="rId27" Type="http://schemas.openxmlformats.org/officeDocument/2006/relationships/hyperlink" Target="https://drive.google.com/drive/folders/13af0vgM_pfn-s_Ye16fitWJWsKTRfiM_" TargetMode="External"/><Relationship Id="rId29" Type="http://schemas.openxmlformats.org/officeDocument/2006/relationships/hyperlink" Target="https://drive.google.com/drive/folders/1mFA0ZPZL1gzBQau3IjKUsBhpE4hR36U8?usp=drive_link" TargetMode="External"/><Relationship Id="rId95" Type="http://schemas.openxmlformats.org/officeDocument/2006/relationships/hyperlink" Target="https://drive.google.com/drive/folders/1sHA8HIjXZ8guQTHuLQ0rt7-2xF9vDZ-h" TargetMode="External"/><Relationship Id="rId94" Type="http://schemas.openxmlformats.org/officeDocument/2006/relationships/hyperlink" Target="https://drive.google.com/drive/folders/1i83HX1i0jYRAna4NRLUIypi0c8aYWmUi" TargetMode="External"/><Relationship Id="rId97" Type="http://schemas.openxmlformats.org/officeDocument/2006/relationships/hyperlink" Target="https://drive.google.com/drive/folders/1DmNtOAyBmFioNFIlToqqv7BSf25HqHdr" TargetMode="External"/><Relationship Id="rId96" Type="http://schemas.openxmlformats.org/officeDocument/2006/relationships/hyperlink" Target="https://drive.google.com/drive/folders/1DmNtOAyBmFioNFIlToqqv7BSf25HqHdr" TargetMode="External"/><Relationship Id="rId11" Type="http://schemas.openxmlformats.org/officeDocument/2006/relationships/hyperlink" Target="https://drive.google.com/drive/folders/1R7QhsZnEFdNdOvQ-ystZCvqxS-Xmy_mK" TargetMode="External"/><Relationship Id="rId99" Type="http://schemas.openxmlformats.org/officeDocument/2006/relationships/hyperlink" Target="https://drive.google.com/drive/folders/1scPrNLNASZanALfUyeog07JyTddkmi4b" TargetMode="External"/><Relationship Id="rId10" Type="http://schemas.openxmlformats.org/officeDocument/2006/relationships/hyperlink" Target="https://drive.google.com/drive/folders/1XRKxCD7qFOvLGMrL9SkWZtVIOpf2p-dg" TargetMode="External"/><Relationship Id="rId98" Type="http://schemas.openxmlformats.org/officeDocument/2006/relationships/hyperlink" Target="https://drive.google.com/drive/folders/1YCNcDTttyJOpQoWy1KcPTbS01c6Y2CHY" TargetMode="External"/><Relationship Id="rId13" Type="http://schemas.openxmlformats.org/officeDocument/2006/relationships/hyperlink" Target="https://drive.google.com/drive/folders/1MRCOViKaQAiV3xJslEiOZO2r5mr1inYt" TargetMode="External"/><Relationship Id="rId12" Type="http://schemas.openxmlformats.org/officeDocument/2006/relationships/hyperlink" Target="https://drive.google.com/drive/folders/1c-fQydvElvumbm2-MxmNtVSTEDaR9Jmr" TargetMode="External"/><Relationship Id="rId91" Type="http://schemas.openxmlformats.org/officeDocument/2006/relationships/hyperlink" Target="https://drive.google.com/drive/folders/1c-fQydvElvumbm2-MxmNtVSTEDaR9Jmr" TargetMode="External"/><Relationship Id="rId90" Type="http://schemas.openxmlformats.org/officeDocument/2006/relationships/hyperlink" Target="https://drive.google.com/drive/folders/1cOoXRzqSXoKJKnylLb9eOH7-CCKyYHjn" TargetMode="External"/><Relationship Id="rId93" Type="http://schemas.openxmlformats.org/officeDocument/2006/relationships/hyperlink" Target="https://drive.google.com/drive/folders/1SBaDqvFjnyTqMee0BAVnMZf2Bigzt1VV" TargetMode="External"/><Relationship Id="rId92" Type="http://schemas.openxmlformats.org/officeDocument/2006/relationships/hyperlink" Target="https://drive.google.com/drive/folders/1tOz6YIsqFsm71x2W0Gw9Y4gt8VmS89Jr" TargetMode="External"/><Relationship Id="rId15" Type="http://schemas.openxmlformats.org/officeDocument/2006/relationships/hyperlink" Target="https://drive.google.com/drive/folders/1-CMAW0sdPZcREtbzSVMArOKmVfHhHJS_" TargetMode="External"/><Relationship Id="rId110" Type="http://schemas.openxmlformats.org/officeDocument/2006/relationships/table" Target="../tables/table4.xml"/><Relationship Id="rId14" Type="http://schemas.openxmlformats.org/officeDocument/2006/relationships/hyperlink" Target="https://drive.google.com/drive/folders/1tOz6YIsqFsm71x2W0Gw9Y4gt8VmS89Jr" TargetMode="External"/><Relationship Id="rId17" Type="http://schemas.openxmlformats.org/officeDocument/2006/relationships/hyperlink" Target="https://drive.google.com/drive/folders/1_P5WMRX8fHo8KyLFHryfg81PTZyQxMKP" TargetMode="External"/><Relationship Id="rId16" Type="http://schemas.openxmlformats.org/officeDocument/2006/relationships/hyperlink" Target="https://drive.google.com/drive/folders/1i83HX1i0jYRAna4NRLUIypi0c8aYWmUi" TargetMode="External"/><Relationship Id="rId19" Type="http://schemas.openxmlformats.org/officeDocument/2006/relationships/hyperlink" Target="https://drive.google.com/drive/folders/1xH8AjQ4C_Pz6GkIVEcBABkWJ3tew_H4V" TargetMode="External"/><Relationship Id="rId18" Type="http://schemas.openxmlformats.org/officeDocument/2006/relationships/hyperlink" Target="https://drive.google.com/drive/folders/1sHA8HIjXZ8guQTHuLQ0rt7-2xF9vDZ-h" TargetMode="External"/><Relationship Id="rId111" Type="http://schemas.openxmlformats.org/officeDocument/2006/relationships/table" Target="../tables/table5.xml"/><Relationship Id="rId84" Type="http://schemas.openxmlformats.org/officeDocument/2006/relationships/hyperlink" Target="https://drive.google.com/drive/folders/1OFh-ZLdOeNVSRBqn0BrfNMWSQ2YWgw8f" TargetMode="External"/><Relationship Id="rId83" Type="http://schemas.openxmlformats.org/officeDocument/2006/relationships/hyperlink" Target="https://drive.google.com/drive/folders/1XMxnYwfvPZKwhPRLMqQSEF3DneGA9Yqp" TargetMode="External"/><Relationship Id="rId86" Type="http://schemas.openxmlformats.org/officeDocument/2006/relationships/hyperlink" Target="https://drive.google.com/drive/folders/1kiSrLDkZjfDd6TIEnq7Bt0c5sQVEGSvo" TargetMode="External"/><Relationship Id="rId85" Type="http://schemas.openxmlformats.org/officeDocument/2006/relationships/hyperlink" Target="https://drive.google.com/drive/folders/1OFh-ZLdOeNVSRBqn0BrfNMWSQ2YWgw8f" TargetMode="External"/><Relationship Id="rId88" Type="http://schemas.openxmlformats.org/officeDocument/2006/relationships/hyperlink" Target="https://drive.google.com/drive/folders/1_ScbpzB8v5SPxbJFHzp14q5Utt5C7CjY" TargetMode="External"/><Relationship Id="rId87" Type="http://schemas.openxmlformats.org/officeDocument/2006/relationships/hyperlink" Target="https://drive.google.com/drive/folders/1OFh-ZLdOeNVSRBqn0BrfNMWSQ2YWgw8f" TargetMode="External"/><Relationship Id="rId89" Type="http://schemas.openxmlformats.org/officeDocument/2006/relationships/hyperlink" Target="https://drive.google.com/drive/folders/1sHA8HIjXZ8guQTHuLQ0rt7-2xF9vDZ-h" TargetMode="External"/><Relationship Id="rId80" Type="http://schemas.openxmlformats.org/officeDocument/2006/relationships/hyperlink" Target="https://drive.google.com/drive/folders/1YCNcDTttyJOpQoWy1KcPTbS01c6Y2CHY" TargetMode="External"/><Relationship Id="rId82" Type="http://schemas.openxmlformats.org/officeDocument/2006/relationships/hyperlink" Target="https://drive.google.com/drive/folders/1mFA0ZPZL1gzBQau3IjKUsBhpE4hR36U8?usp=drive_link" TargetMode="External"/><Relationship Id="rId81" Type="http://schemas.openxmlformats.org/officeDocument/2006/relationships/hyperlink" Target="https://drive.google.com/drive/folders/1scPrNLNASZanALfUyeog07JyTddkmi4b" TargetMode="External"/><Relationship Id="rId1" Type="http://schemas.openxmlformats.org/officeDocument/2006/relationships/hyperlink" Target="https://drive.google.com/drive/folders/1kiSrLDkZjfDd6TIEnq7Bt0c5sQVEGSvo" TargetMode="External"/><Relationship Id="rId2" Type="http://schemas.openxmlformats.org/officeDocument/2006/relationships/hyperlink" Target="https://drive.google.com/drive/folders/1csGFdCfEqMBN3Z3a6f7WHLpB0X8YQlmy" TargetMode="External"/><Relationship Id="rId3" Type="http://schemas.openxmlformats.org/officeDocument/2006/relationships/hyperlink" Target="https://drive.google.com/drive/folders/1OFh-ZLdOeNVSRBqn0BrfNMWSQ2YWgw8f" TargetMode="External"/><Relationship Id="rId4" Type="http://schemas.openxmlformats.org/officeDocument/2006/relationships/hyperlink" Target="https://drive.google.com/drive/folders/1H74eWWN3EpDk4pjemIsyBkyRMswJXBKv" TargetMode="External"/><Relationship Id="rId9" Type="http://schemas.openxmlformats.org/officeDocument/2006/relationships/hyperlink" Target="https://drive.google.com/drive/folders/1sHA8HIjXZ8guQTHuLQ0rt7-2xF9vDZ-h" TargetMode="External"/><Relationship Id="rId5" Type="http://schemas.openxmlformats.org/officeDocument/2006/relationships/hyperlink" Target="https://drive.google.com/drive/folders/1mZlqaNCzMVznzLjuOm9e9tyJNP5jrPAk" TargetMode="External"/><Relationship Id="rId6" Type="http://schemas.openxmlformats.org/officeDocument/2006/relationships/hyperlink" Target="https://drive.google.com/drive/folders/1_ScbpzB8v5SPxbJFHzp14q5Utt5C7CjY" TargetMode="External"/><Relationship Id="rId7" Type="http://schemas.openxmlformats.org/officeDocument/2006/relationships/hyperlink" Target="https://drive.google.com/drive/folders/1DhBSRT-SL1IHUnkmVVBiKj0rtJ6C2DU4" TargetMode="External"/><Relationship Id="rId8" Type="http://schemas.openxmlformats.org/officeDocument/2006/relationships/hyperlink" Target="https://drive.google.com/drive/folders/1BHnNWZpRtN_7mh9mTP99ZqfsesbGGLqt" TargetMode="External"/><Relationship Id="rId73" Type="http://schemas.openxmlformats.org/officeDocument/2006/relationships/hyperlink" Target="https://drive.google.com/drive/folders/1c-fQydvElvumbm2-MxmNtVSTEDaR9Jmr" TargetMode="External"/><Relationship Id="rId72" Type="http://schemas.openxmlformats.org/officeDocument/2006/relationships/hyperlink" Target="https://drive.google.com/drive/folders/1c-fQydvElvumbm2-MxmNtVSTEDaR9Jmr" TargetMode="External"/><Relationship Id="rId75" Type="http://schemas.openxmlformats.org/officeDocument/2006/relationships/hyperlink" Target="https://drive.google.com/drive/folders/1SBaDqvFjnyTqMee0BAVnMZf2Bigzt1VV" TargetMode="External"/><Relationship Id="rId74" Type="http://schemas.openxmlformats.org/officeDocument/2006/relationships/hyperlink" Target="https://drive.google.com/drive/folders/1tOz6YIsqFsm71x2W0Gw9Y4gt8VmS89Jr" TargetMode="External"/><Relationship Id="rId77" Type="http://schemas.openxmlformats.org/officeDocument/2006/relationships/hyperlink" Target="https://drive.google.com/drive/folders/1sHA8HIjXZ8guQTHuLQ0rt7-2xF9vDZ-h" TargetMode="External"/><Relationship Id="rId76" Type="http://schemas.openxmlformats.org/officeDocument/2006/relationships/hyperlink" Target="https://drive.google.com/drive/folders/1i83HX1i0jYRAna4NRLUIypi0c8aYWmUi" TargetMode="External"/><Relationship Id="rId79" Type="http://schemas.openxmlformats.org/officeDocument/2006/relationships/hyperlink" Target="https://drive.google.com/drive/folders/1DmNtOAyBmFioNFIlToqqv7BSf25HqHdr" TargetMode="External"/><Relationship Id="rId78" Type="http://schemas.openxmlformats.org/officeDocument/2006/relationships/hyperlink" Target="https://drive.google.com/drive/folders/1DmNtOAyBmFioNFIlToqqv7BSf25HqHdr" TargetMode="External"/><Relationship Id="rId71" Type="http://schemas.openxmlformats.org/officeDocument/2006/relationships/hyperlink" Target="https://drive.google.com/drive/folders/1sHA8HIjXZ8guQTHuLQ0rt7-2xF9vDZ-h" TargetMode="External"/><Relationship Id="rId70" Type="http://schemas.openxmlformats.org/officeDocument/2006/relationships/hyperlink" Target="https://drive.google.com/drive/folders/1UBjqaKQFeDP5U0l0UeHuFhPZpnWVCHer" TargetMode="External"/><Relationship Id="rId62" Type="http://schemas.openxmlformats.org/officeDocument/2006/relationships/hyperlink" Target="https://drive.google.com/drive/folders/1mFA0ZPZL1gzBQau3IjKUsBhpE4hR36U8?usp=drive_link" TargetMode="External"/><Relationship Id="rId61" Type="http://schemas.openxmlformats.org/officeDocument/2006/relationships/hyperlink" Target="https://drive.google.com/drive/folders/1scPrNLNASZanALfUyeog07JyTddkmi4b" TargetMode="External"/><Relationship Id="rId64" Type="http://schemas.openxmlformats.org/officeDocument/2006/relationships/hyperlink" Target="https://drive.google.com/drive/folders/19qraEBB7C05cW7F82jDhhQEtdfArqJvy?usp=drive_link" TargetMode="External"/><Relationship Id="rId63" Type="http://schemas.openxmlformats.org/officeDocument/2006/relationships/hyperlink" Target="https://drive.google.com/drive/folders/1kiSrLDkZjfDd6TIEnq7Bt0c5sQVEGSvo" TargetMode="External"/><Relationship Id="rId66" Type="http://schemas.openxmlformats.org/officeDocument/2006/relationships/hyperlink" Target="https://drive.google.com/file/d/1fFcTlKw4T4wbDRLSCRHQDasjOcwwKOyn/view?usp=drive_link" TargetMode="External"/><Relationship Id="rId65" Type="http://schemas.openxmlformats.org/officeDocument/2006/relationships/hyperlink" Target="https://drive.google.com/drive/folders/1OFh-ZLdOeNVSRBqn0BrfNMWSQ2YWgw8f" TargetMode="External"/><Relationship Id="rId68" Type="http://schemas.openxmlformats.org/officeDocument/2006/relationships/hyperlink" Target="https://drive.google.com/drive/folders/1J1nFXMifWNferSjXFB9hDddJCqg0LmQ6?usp=drive_link" TargetMode="External"/><Relationship Id="rId67" Type="http://schemas.openxmlformats.org/officeDocument/2006/relationships/hyperlink" Target="https://drive.google.com/drive/folders/1OFh-ZLdOeNVSRBqn0BrfNMWSQ2YWgw8f" TargetMode="External"/><Relationship Id="rId60" Type="http://schemas.openxmlformats.org/officeDocument/2006/relationships/hyperlink" Target="https://drive.google.com/drive/folders/1YCNcDTttyJOpQoWy1KcPTbS01c6Y2CHY" TargetMode="External"/><Relationship Id="rId69" Type="http://schemas.openxmlformats.org/officeDocument/2006/relationships/hyperlink" Target="https://drive.google.com/drive/folders/1_ScbpzB8v5SPxbJFHzp14q5Utt5C7CjY" TargetMode="External"/><Relationship Id="rId51" Type="http://schemas.openxmlformats.org/officeDocument/2006/relationships/hyperlink" Target="https://drive.google.com/drive/folders/13af0vgM_pfn-s_Ye16fitWJWsKTRfiM_" TargetMode="External"/><Relationship Id="rId50" Type="http://schemas.openxmlformats.org/officeDocument/2006/relationships/hyperlink" Target="https://drive.google.com/drive/folders/1i83HX1i0jYRAna4NRLUIypi0c8aYWmUi" TargetMode="External"/><Relationship Id="rId53" Type="http://schemas.openxmlformats.org/officeDocument/2006/relationships/hyperlink" Target="https://drive.google.com/drive/folders/1sHA8HIjXZ8guQTHuLQ0rt7-2xF9vDZ-h" TargetMode="External"/><Relationship Id="rId52" Type="http://schemas.openxmlformats.org/officeDocument/2006/relationships/hyperlink" Target="https://drive.google.com/drive/folders/1mHmOhcUVOGN7KMwTMREWxCLD99HARbad" TargetMode="External"/><Relationship Id="rId55" Type="http://schemas.openxmlformats.org/officeDocument/2006/relationships/hyperlink" Target="https://drive.google.com/drive/folders/1hUwwe8l-oxh4IpWCMOE-Jidd_MpV9-Sc" TargetMode="External"/><Relationship Id="rId54" Type="http://schemas.openxmlformats.org/officeDocument/2006/relationships/hyperlink" Target="https://drive.google.com/drive/folders/1SkuywvIDZSVIaDbxV2Zuwld41F1ZXfFS" TargetMode="External"/><Relationship Id="rId57" Type="http://schemas.openxmlformats.org/officeDocument/2006/relationships/hyperlink" Target="https://drive.google.com/drive/folders/1ohKN9M5C-YCsCp4mzafECht4ialdzMTB?usp=drive_link" TargetMode="External"/><Relationship Id="rId56" Type="http://schemas.openxmlformats.org/officeDocument/2006/relationships/hyperlink" Target="https://drive.google.com/drive/folders/1DmNtOAyBmFioNFIlToqqv7BSf25HqHdr" TargetMode="External"/><Relationship Id="rId59" Type="http://schemas.openxmlformats.org/officeDocument/2006/relationships/hyperlink" Target="https://drive.google.com/drive/folders/17fAHkCI_TvFfPu5wjHdaZxDqqhFDtFXB" TargetMode="External"/><Relationship Id="rId58" Type="http://schemas.openxmlformats.org/officeDocument/2006/relationships/hyperlink" Target="https://drive.google.com/drive/folders/1DmNtOAyBmFioNFIlToqqv7BSf25HqH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63"/>
    <col customWidth="1" min="3" max="5" width="19.5"/>
    <col customWidth="1" min="7" max="7" width="18.25"/>
    <col customWidth="1" min="8" max="8" width="16.13"/>
    <col customWidth="1" min="9" max="11" width="15.13"/>
    <col customWidth="1" min="13" max="13" width="17.25"/>
    <col customWidth="1" min="14" max="14" width="16.13"/>
    <col customWidth="1" min="15" max="15" width="19.5"/>
    <col customWidth="1" min="16" max="17" width="25.25"/>
    <col customWidth="1" min="19" max="19" width="14.25"/>
    <col customWidth="1" min="20" max="20" width="16.13"/>
    <col customWidth="1" min="21" max="22" width="16.0"/>
    <col customWidth="1" min="24" max="24" width="13.88"/>
    <col customWidth="1" min="25" max="25" width="16.13"/>
    <col customWidth="1" min="26" max="26" width="16.0"/>
    <col customWidth="1" min="27" max="27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5</v>
      </c>
      <c r="I1" s="1" t="s">
        <v>6</v>
      </c>
      <c r="J1" s="1" t="s">
        <v>3</v>
      </c>
      <c r="K1" s="1" t="s">
        <v>4</v>
      </c>
      <c r="M1" s="1" t="s">
        <v>0</v>
      </c>
      <c r="N1" s="1" t="s">
        <v>7</v>
      </c>
      <c r="O1" s="2" t="s">
        <v>8</v>
      </c>
      <c r="P1" s="1" t="s">
        <v>9</v>
      </c>
      <c r="Q1" s="1" t="s">
        <v>10</v>
      </c>
      <c r="S1" s="1" t="s">
        <v>0</v>
      </c>
      <c r="T1" s="1" t="s">
        <v>5</v>
      </c>
      <c r="U1" s="1" t="s">
        <v>9</v>
      </c>
      <c r="V1" s="1" t="s">
        <v>11</v>
      </c>
      <c r="X1" s="1" t="s">
        <v>0</v>
      </c>
      <c r="Y1" s="1" t="s">
        <v>5</v>
      </c>
      <c r="Z1" s="1" t="s">
        <v>9</v>
      </c>
      <c r="AA1" s="1" t="s">
        <v>3</v>
      </c>
    </row>
    <row r="2" ht="22.5" customHeight="1">
      <c r="A2" s="3" t="s">
        <v>12</v>
      </c>
      <c r="B2" s="4" t="s">
        <v>13</v>
      </c>
      <c r="D2" s="5" t="str">
        <f>IFERROR(__xludf.DUMMYFUNCTION("SWITCH(REGEXEXTRACT(A2, ""-(.)""), ""S"", ""S"", ""M"", ""M"", ""L"", ""L"", ""2"", ""Lot de 2 (à préciser SM ou SL)"", ""3"", ""Lot de 3"", ""Taille non reconnue"")"),"Lot de 3")</f>
        <v>Lot de 3</v>
      </c>
      <c r="E2" s="5" t="str">
        <f>IFERROR(__xludf.DUMMYFUNCTION("SWITCH(REGEXEXTRACT(A2,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REGEXEXTRACT(A2, ""-["&amp;"SML23](.*)""))"),"Noir")</f>
        <v>Noir</v>
      </c>
      <c r="G2" s="6" t="s">
        <v>14</v>
      </c>
      <c r="H2" s="7" t="s">
        <v>15</v>
      </c>
      <c r="J2" s="5" t="str">
        <f>IFERROR(__xludf.DUMMYFUNCTION("SWITCH(REGEXEXTRACT(G2, ""(.{2})-""), ""01"", ""L"", ""02"", ""XL"", ""Taille non reconnue"")"),"L")</f>
        <v>L</v>
      </c>
      <c r="K2" s="5" t="str">
        <f>IFERROR(__xludf.DUMMYFUNCTION("SWITCH(REGEXEXTRACT(G2,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REGEXEXTRACT(G2, ""-[0-9](.*)""))"),"NOIR")</f>
        <v>NOIR</v>
      </c>
      <c r="M2" s="6" t="s">
        <v>16</v>
      </c>
      <c r="N2" s="8" t="s">
        <v>17</v>
      </c>
      <c r="P2" s="5" t="str">
        <f>IFERROR(__xludf.DUMMYFUNCTION("SWITCH(REGEXEXTRACT(M2, ""-(.)""), ""S"", ""S"", ""M"", ""M"", ""L"", ""L"", ""2"", ""Lot de 2 (à préciser SM ou SL)"", ""3"", ""Lot de 3"", ""Taille non reconnue"")"),"Lot de 2 (à préciser SM ou SL)")</f>
        <v>Lot de 2 (à préciser SM ou SL)</v>
      </c>
      <c r="Q2" s="5" t="str">
        <f>IFERROR(__xludf.DUMMYFUNCTION("SWITCH(REGEXEXTRACT(M2,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REGEXEXTRACT(M2, ""-["&amp;"SML23](.*)""))"),"Noir")</f>
        <v>Noir</v>
      </c>
      <c r="S2" s="6" t="s">
        <v>18</v>
      </c>
      <c r="V2" s="5" t="str">
        <f>IFERROR(__xludf.DUMMYFUNCTION("SWITCH(REGEXEXTRACT(S2, ""-(.)""), ""S"", ""S"", ""M"", ""M"", ""L"", ""L"", ""2"", ""Lot de 2 (à préciser SM ou SL)"", ""3"", ""Lot de 3"", ""Taille non reconnue"")"),"Lot de 3")</f>
        <v>Lot de 3</v>
      </c>
      <c r="X2" s="6" t="s">
        <v>19</v>
      </c>
      <c r="AA2" s="5" t="str">
        <f>IFERROR(__xludf.DUMMYFUNCTION("SWITCH(REGEXEXTRACT(X2, ""-(.)""), ""S"", ""S"", ""M"", ""M"", ""L"", ""L"", ""2"", ""Lot de 2 (à préciser SM ou SL)"", ""3"", ""Lot de 3"", ""Taille non reconnue"")"),"Lot de 3")</f>
        <v>Lot de 3</v>
      </c>
    </row>
    <row r="3" ht="22.5" customHeight="1">
      <c r="A3" s="3" t="s">
        <v>20</v>
      </c>
      <c r="B3" s="4" t="s">
        <v>21</v>
      </c>
      <c r="D3" s="5" t="str">
        <f>IFERROR(__xludf.DUMMYFUNCTION("SWITCH(REGEXEXTRACT(A3, ""-(.)""), ""S"", ""S"", ""M"", ""M"", ""L"", ""L"", ""2"", ""Lot de 2 (à préciser SM ou SL)"", ""3"", ""Lot de 3"", ""Taille non reconnue"")"),"Lot de 3")</f>
        <v>Lot de 3</v>
      </c>
      <c r="E3" s="5" t="str">
        <f>IFERROR(__xludf.DUMMYFUNCTION("SWITCH(REGEXEXTRACT(A3,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REGEXEXTRACT(A3, ""-["&amp;"SML23](.*)""))"),"Bleu Klein")</f>
        <v>Bleu Klein</v>
      </c>
      <c r="G3" s="6" t="s">
        <v>22</v>
      </c>
      <c r="H3" s="4" t="s">
        <v>23</v>
      </c>
      <c r="J3" s="5" t="str">
        <f>IFERROR(__xludf.DUMMYFUNCTION("SWITCH(REGEXEXTRACT(G3, ""(.{2})-""), ""01"", ""L"", ""02"", ""XL"", ""Taille non reconnue"")"),"L")</f>
        <v>L</v>
      </c>
      <c r="K3" s="5" t="str">
        <f>IFERROR(__xludf.DUMMYFUNCTION("SWITCH(REGEXEXTRACT(G3,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REGEXEXTRACT(G3, ""-[0-9](.*)""))"),"Champagne")</f>
        <v>Champagne</v>
      </c>
      <c r="M3" s="6" t="s">
        <v>24</v>
      </c>
      <c r="N3" s="4" t="s">
        <v>25</v>
      </c>
      <c r="P3" s="5" t="str">
        <f>IFERROR(__xludf.DUMMYFUNCTION("SWITCH(REGEXEXTRACT(M3, ""-(.)""), ""S"", ""S"", ""M"", ""M"", ""L"", ""L"", ""2"", ""Lot de 2 (à préciser SM ou SL)"", ""3"", ""Lot de 3"", ""Taille non reconnue"")"),"Lot de 2 (à préciser SM ou SL)")</f>
        <v>Lot de 2 (à préciser SM ou SL)</v>
      </c>
      <c r="Q3" s="5" t="str">
        <f>IFERROR(__xludf.DUMMYFUNCTION("SWITCH(REGEXEXTRACT(M3,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REGEXEXTRACT(M3, ""-["&amp;"SML23](.*)""))"),"Champagne")</f>
        <v>Champagne</v>
      </c>
      <c r="S3" s="6" t="s">
        <v>26</v>
      </c>
      <c r="V3" s="5" t="str">
        <f>IFERROR(__xludf.DUMMYFUNCTION("SWITCH(REGEXEXTRACT(S3, ""-(.)""), ""S"", ""S"", ""M"", ""M"", ""L"", ""L"", ""2"", ""Lot de 2 (à préciser SM ou SL)"", ""3"", ""Lot de 3"", ""Taille non reconnue"")"),"Lot de 3")</f>
        <v>Lot de 3</v>
      </c>
      <c r="X3" s="6" t="s">
        <v>27</v>
      </c>
      <c r="AA3" s="5" t="str">
        <f>IFERROR(__xludf.DUMMYFUNCTION("SWITCH(REGEXEXTRACT(X3, ""-(.)""), ""S"", ""S"", ""M"", ""M"", ""L"", ""L"", ""2"", ""Lot de 2 (à préciser SM ou SL)"", ""3"", ""Lot de 3"", ""Taille non reconnue"")"),"Lot de 3")</f>
        <v>Lot de 3</v>
      </c>
    </row>
    <row r="4" ht="22.5" customHeight="1">
      <c r="A4" s="3" t="s">
        <v>28</v>
      </c>
      <c r="B4" s="4" t="s">
        <v>29</v>
      </c>
      <c r="D4" s="5" t="str">
        <f>IFERROR(__xludf.DUMMYFUNCTION("SWITCH(REGEXEXTRACT(A4, ""-(.)""), ""S"", ""S"", ""M"", ""M"", ""L"", ""L"", ""2"", ""Lot de 2 (à préciser SM ou SL)"", ""3"", ""Lot de 3"", ""Taille non reconnue"")"),"Lot de 3")</f>
        <v>Lot de 3</v>
      </c>
      <c r="E4" s="5" t="str">
        <f>IFERROR(__xludf.DUMMYFUNCTION("SWITCH(REGEXEXTRACT(A4,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REGEXEXTRACT(A4, ""-["&amp;"SML23](.*)""))"),"Champagne")</f>
        <v>Champagne</v>
      </c>
      <c r="G4" s="6" t="s">
        <v>30</v>
      </c>
      <c r="H4" s="4" t="s">
        <v>31</v>
      </c>
      <c r="J4" s="5" t="str">
        <f>IFERROR(__xludf.DUMMYFUNCTION("SWITCH(REGEXEXTRACT(G4, ""(.{2})-""), ""01"", ""L"", ""02"", ""XL"", ""Taille non reconnue"")"),"L")</f>
        <v>L</v>
      </c>
      <c r="K4" s="5" t="str">
        <f>IFERROR(__xludf.DUMMYFUNCTION("SWITCH(REGEXEXTRACT(G4,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REGEXEXTRACT(G4, ""-[0-9](.*)""))"),"Dark red")</f>
        <v>Dark red</v>
      </c>
      <c r="M4" s="6" t="s">
        <v>32</v>
      </c>
      <c r="N4" s="4" t="s">
        <v>33</v>
      </c>
      <c r="P4" s="5" t="str">
        <f>IFERROR(__xludf.DUMMYFUNCTION("SWITCH(REGEXEXTRACT(M4, ""-(.)""), ""S"", ""S"", ""M"", ""M"", ""L"", ""L"", ""2"", ""Lot de 2 (à préciser SM ou SL)"", ""3"", ""Lot de 3"", ""Taille non reconnue"")"),"Lot de 2 (à préciser SM ou SL)")</f>
        <v>Lot de 2 (à préciser SM ou SL)</v>
      </c>
      <c r="Q4" s="5" t="str">
        <f>IFERROR(__xludf.DUMMYFUNCTION("SWITCH(REGEXEXTRACT(M4,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REGEXEXTRACT(M4, ""-["&amp;"SML23](.*)""))"),"DGR")</f>
        <v>DGR</v>
      </c>
      <c r="S4" s="6" t="s">
        <v>34</v>
      </c>
      <c r="V4" s="5" t="str">
        <f>IFERROR(__xludf.DUMMYFUNCTION("SWITCH(REGEXEXTRACT(S4, ""-(.)""), ""S"", ""S"", ""M"", ""M"", ""L"", ""L"", ""2"", ""Lot de 2 (à préciser SM ou SL)"", ""3"", ""Lot de 3"", ""Taille non reconnue"")"),"Lot de 3")</f>
        <v>Lot de 3</v>
      </c>
      <c r="X4" s="6" t="s">
        <v>35</v>
      </c>
      <c r="AA4" s="5" t="str">
        <f>IFERROR(__xludf.DUMMYFUNCTION("SWITCH(REGEXEXTRACT(X4, ""-(.)""), ""S"", ""S"", ""M"", ""M"", ""L"", ""L"", ""2"", ""Lot de 2 (à préciser SM ou SL)"", ""3"", ""Lot de 3"", ""Taille non reconnue"")"),"Lot de 3")</f>
        <v>Lot de 3</v>
      </c>
    </row>
    <row r="5" ht="22.5" customHeight="1">
      <c r="A5" s="3" t="s">
        <v>36</v>
      </c>
      <c r="B5" s="4" t="s">
        <v>37</v>
      </c>
      <c r="D5" s="5" t="str">
        <f>IFERROR(__xludf.DUMMYFUNCTION("SWITCH(REGEXEXTRACT(A5, ""-(.)""), ""S"", ""S"", ""M"", ""M"", ""L"", ""L"", ""2"", ""Lot de 2 (à préciser SM ou SL)"", ""3"", ""Lot de 3"", ""Taille non reconnue"")"),"Lot de 3")</f>
        <v>Lot de 3</v>
      </c>
      <c r="E5" s="5" t="str">
        <f>IFERROR(__xludf.DUMMYFUNCTION("SWITCH(REGEXEXTRACT(A5,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REGEXEXTRACT(A5, ""-["&amp;"SML23](.*)""))"),"Orange")</f>
        <v>Orange</v>
      </c>
      <c r="G5" s="6" t="s">
        <v>38</v>
      </c>
      <c r="H5" s="4" t="s">
        <v>31</v>
      </c>
      <c r="J5" s="5" t="str">
        <f>IFERROR(__xludf.DUMMYFUNCTION("SWITCH(REGEXEXTRACT(G5, ""(.{2})-""), ""01"", ""L"", ""02"", ""XL"", ""Taille non reconnue"")"),"L")</f>
        <v>L</v>
      </c>
      <c r="K5" s="5" t="str">
        <f>IFERROR(__xludf.DUMMYFUNCTION("SWITCH(REGEXEXTRACT(G5,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REGEXEXTRACT(G5, ""-[0-9](.*)""))"),"Rose gold")</f>
        <v>Rose gold</v>
      </c>
      <c r="M5" s="6" t="s">
        <v>39</v>
      </c>
      <c r="N5" s="4" t="s">
        <v>40</v>
      </c>
      <c r="P5" s="5" t="str">
        <f>IFERROR(__xludf.DUMMYFUNCTION("SWITCH(REGEXEXTRACT(M5, ""-(.)""), ""S"", ""S"", ""M"", ""M"", ""L"", ""L"", ""2"", ""Lot de 2 (à préciser SM ou SL)"", ""3"", ""Lot de 3"", ""Taille non reconnue"")"),"Lot de 2 (à préciser SM ou SL)")</f>
        <v>Lot de 2 (à préciser SM ou SL)</v>
      </c>
      <c r="Q5" s="5" t="str">
        <f>IFERROR(__xludf.DUMMYFUNCTION("SWITCH(REGEXEXTRACT(M5,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REGEXEXTRACT(M5, ""-["&amp;"SML23](.*)""))"),"Orange")</f>
        <v>Orange</v>
      </c>
      <c r="S5" s="6" t="s">
        <v>41</v>
      </c>
      <c r="V5" s="5" t="str">
        <f>IFERROR(__xludf.DUMMYFUNCTION("SWITCH(REGEXEXTRACT(S5, ""-(.)""), ""S"", ""S"", ""M"", ""M"", ""L"", ""L"", ""2"", ""Lot de 2 (à préciser SM ou SL)"", ""3"", ""Lot de 3"", ""Taille non reconnue"")"),"Lot de 3")</f>
        <v>Lot de 3</v>
      </c>
      <c r="X5" s="6" t="s">
        <v>42</v>
      </c>
      <c r="AA5" s="5" t="str">
        <f>IFERROR(__xludf.DUMMYFUNCTION("SWITCH(REGEXEXTRACT(X5, ""-(.)""), ""S"", ""S"", ""M"", ""M"", ""L"", ""L"", ""2"", ""Lot de 2 (à préciser SM ou SL)"", ""3"", ""Lot de 3"", ""Taille non reconnue"")"),"Lot de 3")</f>
        <v>Lot de 3</v>
      </c>
    </row>
    <row r="6" ht="22.5" customHeight="1">
      <c r="A6" s="3" t="s">
        <v>43</v>
      </c>
      <c r="B6" s="4" t="s">
        <v>44</v>
      </c>
      <c r="D6" s="5" t="str">
        <f>IFERROR(__xludf.DUMMYFUNCTION("SWITCH(REGEXEXTRACT(A6, ""-(.)""), ""S"", ""S"", ""M"", ""M"", ""L"", ""L"", ""2"", ""Lot de 2 (à préciser SM ou SL)"", ""3"", ""Lot de 3"", ""Taille non reconnue"")"),"Lot de 3")</f>
        <v>Lot de 3</v>
      </c>
      <c r="E6" s="5" t="str">
        <f>IFERROR(__xludf.DUMMYFUNCTION("SWITCH(REGEXEXTRACT(A6,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REGEXEXTRACT(A6, ""-["&amp;"SML23](.*)""))"),"Dark yellow")</f>
        <v>Dark yellow</v>
      </c>
      <c r="G6" s="6" t="s">
        <v>45</v>
      </c>
      <c r="H6" s="4" t="s">
        <v>31</v>
      </c>
      <c r="J6" s="5" t="str">
        <f>IFERROR(__xludf.DUMMYFUNCTION("SWITCH(REGEXEXTRACT(G6, ""(.{2})-""), ""01"", ""L"", ""02"", ""XL"", ""Taille non reconnue"")"),"L")</f>
        <v>L</v>
      </c>
      <c r="K6" s="5" t="str">
        <f>IFERROR(__xludf.DUMMYFUNCTION("SWITCH(REGEXEXTRACT(G6,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REGEXEXTRACT(G6, ""-[0-9](.*)""))"),"Sapin")</f>
        <v>Sapin</v>
      </c>
      <c r="M6" s="6" t="s">
        <v>46</v>
      </c>
      <c r="N6" s="8" t="s">
        <v>17</v>
      </c>
      <c r="P6" s="5" t="str">
        <f>IFERROR(__xludf.DUMMYFUNCTION("SWITCH(REGEXEXTRACT(M6, ""-(.)""), ""S"", ""S"", ""M"", ""M"", ""L"", ""L"", ""2"", ""Lot de 2 (à préciser SM ou SL)"", ""3"", ""Lot de 3"", ""Taille non reconnue"")"),"Lot de 2 (à préciser SM ou SL)")</f>
        <v>Lot de 2 (à préciser SM ou SL)</v>
      </c>
      <c r="Q6" s="5" t="str">
        <f>IFERROR(__xludf.DUMMYFUNCTION("SWITCH(REGEXEXTRACT(M6,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REGEXEXTRACT(M6, ""-["&amp;"SML23](.*)""))"),"Dark red")</f>
        <v>Dark red</v>
      </c>
      <c r="S6" s="6" t="s">
        <v>47</v>
      </c>
      <c r="V6" s="5" t="str">
        <f>IFERROR(__xludf.DUMMYFUNCTION("SWITCH(REGEXEXTRACT(S6, ""-(.)""), ""S"", ""S"", ""M"", ""M"", ""L"", ""L"", ""2"", ""Lot de 2 (à préciser SM ou SL)"", ""3"", ""Lot de 3"", ""Taille non reconnue"")"),"L")</f>
        <v>L</v>
      </c>
      <c r="X6" s="6" t="s">
        <v>48</v>
      </c>
      <c r="AA6" s="5" t="str">
        <f>IFERROR(__xludf.DUMMYFUNCTION("SWITCH(REGEXEXTRACT(X6, ""-(.)""), ""S"", ""S"", ""M"", ""M"", ""L"", ""L"", ""2"", ""Lot de 2 (à préciser SM ou SL)"", ""3"", ""Lot de 3"", ""Taille non reconnue"")"),"Lot de 3")</f>
        <v>Lot de 3</v>
      </c>
    </row>
    <row r="7" ht="22.5" customHeight="1">
      <c r="A7" s="3" t="s">
        <v>49</v>
      </c>
      <c r="B7" s="4" t="s">
        <v>50</v>
      </c>
      <c r="D7" s="5" t="str">
        <f>IFERROR(__xludf.DUMMYFUNCTION("SWITCH(REGEXEXTRACT(A7, ""-(.)""), ""S"", ""S"", ""M"", ""M"", ""L"", ""L"", ""2"", ""Lot de 2 (à préciser SM ou SL)"", ""3"", ""Lot de 3"", ""Taille non reconnue"")"),"Lot de 3")</f>
        <v>Lot de 3</v>
      </c>
      <c r="E7" s="5" t="str">
        <f>IFERROR(__xludf.DUMMYFUNCTION("SWITCH(REGEXEXTRACT(A7,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REGEXEXTRACT(A7, ""-["&amp;"SML23](.*)""))"),"Fuschia")</f>
        <v>Fuschia</v>
      </c>
      <c r="G7" s="6" t="s">
        <v>51</v>
      </c>
      <c r="H7" s="4" t="s">
        <v>31</v>
      </c>
      <c r="J7" s="5" t="str">
        <f>IFERROR(__xludf.DUMMYFUNCTION("SWITCH(REGEXEXTRACT(G7, ""(.{2})-""), ""01"", ""L"", ""02"", ""XL"", ""Taille non reconnue"")"),"L")</f>
        <v>L</v>
      </c>
      <c r="K7" s="5" t="str">
        <f>IFERROR(__xludf.DUMMYFUNCTION("SWITCH(REGEXEXTRACT(G7,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REGEXEXTRACT(G7, ""-[0-9](.*)""))"),"Argent")</f>
        <v>Argent</v>
      </c>
      <c r="M7" s="6" t="s">
        <v>52</v>
      </c>
      <c r="N7" s="8" t="s">
        <v>17</v>
      </c>
      <c r="P7" s="5" t="str">
        <f>IFERROR(__xludf.DUMMYFUNCTION("SWITCH(REGEXEXTRACT(M7, ""-(.)""), ""S"", ""S"", ""M"", ""M"", ""L"", ""L"", ""2"", ""Lot de 2 (à préciser SM ou SL)"", ""3"", ""Lot de 3"", ""Taille non reconnue"")"),"Lot de 2 (à préciser SM ou SL)")</f>
        <v>Lot de 2 (à préciser SM ou SL)</v>
      </c>
      <c r="Q7" s="5" t="str">
        <f>IFERROR(__xludf.DUMMYFUNCTION("SWITCH(REGEXEXTRACT(M7,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REGEXEXTRACT(M7, ""-["&amp;"SML23](.*)""))"),"Marine")</f>
        <v>Marine</v>
      </c>
      <c r="S7" s="6" t="s">
        <v>53</v>
      </c>
      <c r="V7" s="5" t="str">
        <f>IFERROR(__xludf.DUMMYFUNCTION("SWITCH(REGEXEXTRACT(S7, ""-(.)""), ""S"", ""S"", ""M"", ""M"", ""L"", ""L"", ""2"", ""Lot de 2 (à préciser SM ou SL)"", ""3"", ""Lot de 3"", ""Taille non reconnue"")"),"M")</f>
        <v>M</v>
      </c>
      <c r="X7" s="6" t="s">
        <v>54</v>
      </c>
      <c r="AA7" s="5" t="str">
        <f>IFERROR(__xludf.DUMMYFUNCTION("SWITCH(REGEXEXTRACT(X7, ""-(.)""), ""S"", ""S"", ""M"", ""M"", ""L"", ""L"", ""2"", ""Lot de 2 (à préciser SM ou SL)"", ""3"", ""Lot de 3"", ""Taille non reconnue"")"),"Lot de 3")</f>
        <v>Lot de 3</v>
      </c>
    </row>
    <row r="8" ht="22.5" customHeight="1">
      <c r="A8" s="3" t="s">
        <v>55</v>
      </c>
      <c r="B8" s="4" t="s">
        <v>56</v>
      </c>
      <c r="D8" s="5" t="str">
        <f>IFERROR(__xludf.DUMMYFUNCTION("SWITCH(REGEXEXTRACT(A8, ""-(.)""), ""S"", ""S"", ""M"", ""M"", ""L"", ""L"", ""2"", ""Lot de 2 (à préciser SM ou SL)"", ""3"", ""Lot de 3"", ""Taille non reconnue"")"),"Lot de 3")</f>
        <v>Lot de 3</v>
      </c>
      <c r="E8" s="5" t="str">
        <f>IFERROR(__xludf.DUMMYFUNCTION("SWITCH(REGEXEXTRACT(A8,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REGEXEXTRACT(A8, ""-["&amp;"SML23](.*)""))"),"Marine")</f>
        <v>Marine</v>
      </c>
      <c r="G8" s="6" t="s">
        <v>57</v>
      </c>
      <c r="H8" s="4" t="s">
        <v>31</v>
      </c>
      <c r="J8" s="5" t="str">
        <f>IFERROR(__xludf.DUMMYFUNCTION("SWITCH(REGEXEXTRACT(G8, ""(.{2})-""), ""01"", ""L"", ""02"", ""XL"", ""Taille non reconnue"")"),"XL")</f>
        <v>XL</v>
      </c>
      <c r="K8" s="5" t="str">
        <f>IFERROR(__xludf.DUMMYFUNCTION("SWITCH(REGEXEXTRACT(G8,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REGEXEXTRACT(G8, ""-[0-9](.*)""))"),"Dark red")</f>
        <v>Dark red</v>
      </c>
      <c r="M8" s="6" t="s">
        <v>58</v>
      </c>
      <c r="N8" s="8" t="s">
        <v>17</v>
      </c>
      <c r="P8" s="5" t="str">
        <f>IFERROR(__xludf.DUMMYFUNCTION("SWITCH(REGEXEXTRACT(M8, ""-(.)""), ""S"", ""S"", ""M"", ""M"", ""L"", ""L"", ""2"", ""Lot de 2 (à préciser SM ou SL)"", ""3"", ""Lot de 3"", ""Taille non reconnue"")"),"Lot de 2 (à préciser SM ou SL)")</f>
        <v>Lot de 2 (à préciser SM ou SL)</v>
      </c>
      <c r="Q8" s="5" t="str">
        <f>IFERROR(__xludf.DUMMYFUNCTION("SWITCH(REGEXEXTRACT(M8,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REGEXEXTRACT(M8, ""-["&amp;"SML23](.*)""))"),"PGD")</f>
        <v>PGD</v>
      </c>
      <c r="S8" s="6" t="s">
        <v>59</v>
      </c>
      <c r="V8" s="5" t="str">
        <f>IFERROR(__xludf.DUMMYFUNCTION("SWITCH(REGEXEXTRACT(S8, ""-(.)""), ""S"", ""S"", ""M"", ""M"", ""L"", ""L"", ""2"", ""Lot de 2 (à préciser SM ou SL)"", ""3"", ""Lot de 3"", ""Taille non reconnue"")"),"S")</f>
        <v>S</v>
      </c>
      <c r="X8" s="6" t="s">
        <v>60</v>
      </c>
      <c r="AA8" s="5" t="str">
        <f>IFERROR(__xludf.DUMMYFUNCTION("SWITCH(REGEXEXTRACT(X8, ""-(.)""), ""S"", ""S"", ""M"", ""M"", ""L"", ""L"", ""2"", ""Lot de 2 (à préciser SM ou SL)"", ""3"", ""Lot de 3"", ""Taille non reconnue"")"),"Lot de 3")</f>
        <v>Lot de 3</v>
      </c>
    </row>
    <row r="9" ht="22.5" customHeight="1">
      <c r="A9" s="3" t="s">
        <v>61</v>
      </c>
      <c r="B9" s="4" t="s">
        <v>37</v>
      </c>
      <c r="D9" s="5" t="str">
        <f>IFERROR(__xludf.DUMMYFUNCTION("SWITCH(REGEXEXTRACT(A9, ""-(.)""), ""S"", ""S"", ""M"", ""M"", ""L"", ""L"", ""2"", ""Lot de 2 (à préciser SM ou SL)"", ""3"", ""Lot de 3"", ""Taille non reconnue"")"),"Lot de 3")</f>
        <v>Lot de 3</v>
      </c>
      <c r="E9" s="5" t="str">
        <f>IFERROR(__xludf.DUMMYFUNCTION("SWITCH(REGEXEXTRACT(A9,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REGEXEXTRACT(A9, ""-["&amp;"SML23](.*)""))"),"Orange")</f>
        <v>Orange</v>
      </c>
      <c r="G9" s="6" t="s">
        <v>62</v>
      </c>
      <c r="H9" s="4" t="s">
        <v>63</v>
      </c>
      <c r="I9" s="8" t="s">
        <v>64</v>
      </c>
      <c r="J9" s="5" t="str">
        <f>IFERROR(__xludf.DUMMYFUNCTION("SWITCH(REGEXEXTRACT(G9, ""(.{2})-""), ""01"", ""L"", ""02"", ""XL"", ""Taille non reconnue"")"),"XL")</f>
        <v>XL</v>
      </c>
      <c r="K9" s="5" t="str">
        <f>IFERROR(__xludf.DUMMYFUNCTION("SWITCH(REGEXEXTRACT(G9,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REGEXEXTRACT(G9, ""-[0-9](.*)""))"),"Nude")</f>
        <v>Nude</v>
      </c>
      <c r="M9" s="6" t="s">
        <v>65</v>
      </c>
      <c r="N9" s="4" t="s">
        <v>66</v>
      </c>
      <c r="P9" s="5" t="str">
        <f>IFERROR(__xludf.DUMMYFUNCTION("SWITCH(REGEXEXTRACT(M9, ""-(.)""), ""S"", ""S"", ""M"", ""M"", ""L"", ""L"", ""2"", ""Lot de 2 (à préciser SM ou SL)"", ""3"", ""Lot de 3"", ""Taille non reconnue"")"),"Lot de 2 (à préciser SM ou SL)")</f>
        <v>Lot de 2 (à préciser SM ou SL)</v>
      </c>
      <c r="Q9" s="5" t="str">
        <f>IFERROR(__xludf.DUMMYFUNCTION("SWITCH(REGEXEXTRACT(M9, ""-[SML23](.*)""), ""DYLW"", ""Dark yellow"", ""DYWL"", ""Dark yellow"", ""BLU"", ""Bleu"", ""BLEU"", ""Bleu"", ""BLEUL"", ""Bleu"", ""BLUK"", ""Bleu Klein"", ""ORA"", ""Orange"", ""DORA"", ""Orange"", ""REDP"", ""Rouge patou"", """&amp;"RED"", ""Rouge"", ""DRE"", ""Dark red"", ""VEU"", ""Vert d'eau"", ""BLK"", ""Noir"", ""WHT"", ""Blanc"", ""NAV"", ""Marine"", ""CHA"", ""Champagne"", ""FSH"", ""Fuschia"", ""MIN"", ""Menthe"", ""SAP"", ""Sapin"", ""SLV"", ""Argent"", REGEXEXTRACT(M9, ""-["&amp;"SML23](.*)""))"),"SAB")</f>
        <v>SAB</v>
      </c>
      <c r="X9" s="6" t="s">
        <v>67</v>
      </c>
      <c r="AA9" s="5" t="str">
        <f>IFERROR(__xludf.DUMMYFUNCTION("SWITCH(REGEXEXTRACT(X9, ""-(.)""), ""S"", ""S"", ""M"", ""M"", ""L"", ""L"", ""2"", ""Lot de 2 (à préciser SM ou SL)"", ""3"", ""Lot de 3"", ""Taille non reconnue"")"),"Lot de 3")</f>
        <v>Lot de 3</v>
      </c>
    </row>
    <row r="10" ht="22.5" customHeight="1">
      <c r="A10" s="3" t="s">
        <v>68</v>
      </c>
      <c r="B10" s="4" t="s">
        <v>69</v>
      </c>
      <c r="D10" s="5" t="str">
        <f>IFERROR(__xludf.DUMMYFUNCTION("SWITCH(REGEXEXTRACT(A10, ""-(.)""), ""S"", ""S"", ""M"", ""M"", ""L"", ""L"", ""2"", ""Lot de 2 (à préciser SM ou SL)"", ""3"", ""Lot de 3"", ""Taille non reconnue"")"),"Lot de 3")</f>
        <v>Lot de 3</v>
      </c>
      <c r="E10" s="5" t="str">
        <f>IFERROR(__xludf.DUMMYFUNCTION("SWITCH(REGEXEXTRACT(A10,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REGEXEXTRACT(A10, "&amp;"""-[SML23](.*)""))"),"Rouge")</f>
        <v>Rouge</v>
      </c>
      <c r="G10" s="6" t="s">
        <v>70</v>
      </c>
      <c r="H10" s="4" t="s">
        <v>31</v>
      </c>
      <c r="J10" s="5" t="str">
        <f>IFERROR(__xludf.DUMMYFUNCTION("SWITCH(REGEXEXTRACT(G10, ""(.{2})-""), ""01"", ""L"", ""02"", ""XL"", ""Taille non reconnue"")"),"XL")</f>
        <v>XL</v>
      </c>
      <c r="K10" s="5" t="str">
        <f>IFERROR(__xludf.DUMMYFUNCTION("SWITCH(REGEXEXTRACT(G10,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REGEXEXTRACT(G10, ""-[0-9](.*)""))"),"Sapin")</f>
        <v>Sapin</v>
      </c>
      <c r="M10" s="6" t="s">
        <v>71</v>
      </c>
      <c r="N10" s="8" t="s">
        <v>17</v>
      </c>
      <c r="P10" s="5" t="str">
        <f>IFERROR(__xludf.DUMMYFUNCTION("SWITCH(REGEXEXTRACT(M10, ""-(.)""), ""S"", ""S"", ""M"", ""M"", ""L"", ""L"", ""2"", ""Lot de 2 (à préciser SM ou SL)"", ""3"", ""Lot de 3"", ""Taille non reconnue"")"),"Lot de 2 (à préciser SM ou SL)")</f>
        <v>Lot de 2 (à préciser SM ou SL)</v>
      </c>
      <c r="Q10" s="5" t="str">
        <f>IFERROR(__xludf.DUMMYFUNCTION("SWITCH(REGEXEXTRACT(M10,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REGEXEXTRACT(M10, "&amp;"""-[SML23](.*)""))"),"Sapin")</f>
        <v>Sapin</v>
      </c>
      <c r="X10" s="6" t="s">
        <v>72</v>
      </c>
      <c r="AA10" s="5" t="str">
        <f>IFERROR(__xludf.DUMMYFUNCTION("SWITCH(REGEXEXTRACT(X10, ""-(.)""), ""S"", ""S"", ""M"", ""M"", ""L"", ""L"", ""2"", ""Lot de 2 (à préciser SM ou SL)"", ""3"", ""Lot de 3"", ""Taille non reconnue"")"),"L")</f>
        <v>L</v>
      </c>
    </row>
    <row r="11" ht="22.5" customHeight="1">
      <c r="A11" s="3" t="s">
        <v>73</v>
      </c>
      <c r="B11" s="4" t="s">
        <v>74</v>
      </c>
      <c r="D11" s="5" t="str">
        <f>IFERROR(__xludf.DUMMYFUNCTION("SWITCH(REGEXEXTRACT(A11, ""-(.)""), ""S"", ""S"", ""M"", ""M"", ""L"", ""L"", ""2"", ""Lot de 2 (à préciser SM ou SL)"", ""3"", ""Lot de 3"", ""Taille non reconnue"")"),"Lot de 3")</f>
        <v>Lot de 3</v>
      </c>
      <c r="E11" s="5" t="str">
        <f>IFERROR(__xludf.DUMMYFUNCTION("SWITCH(REGEXEXTRACT(A11,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REGEXEXTRACT(A11, "&amp;"""-[SML23](.*)""))"),"Sapin")</f>
        <v>Sapin</v>
      </c>
      <c r="G11" s="6" t="s">
        <v>75</v>
      </c>
      <c r="H11" s="4" t="s">
        <v>31</v>
      </c>
      <c r="J11" s="5" t="str">
        <f>IFERROR(__xludf.DUMMYFUNCTION("SWITCH(REGEXEXTRACT(G11, ""(.{2})-""), ""01"", ""L"", ""02"", ""XL"", ""Taille non reconnue"")"),"XL")</f>
        <v>XL</v>
      </c>
      <c r="K11" s="5" t="str">
        <f>IFERROR(__xludf.DUMMYFUNCTION("SWITCH(REGEXEXTRACT(G11,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REGEXEXTRACT(G11, ""-[0-9](.*)""))"),"Argent")</f>
        <v>Argent</v>
      </c>
      <c r="M11" s="6" t="s">
        <v>76</v>
      </c>
      <c r="N11" s="4" t="s">
        <v>77</v>
      </c>
      <c r="P11" s="5" t="str">
        <f>IFERROR(__xludf.DUMMYFUNCTION("SWITCH(REGEXEXTRACT(M11, ""-(.)""), ""S"", ""S"", ""M"", ""M"", ""L"", ""L"", ""2"", ""Lot de 2 (à préciser SM ou SL)"", ""3"", ""Lot de 3"", ""Taille non reconnue"")"),"Lot de 2 (à préciser SM ou SL)")</f>
        <v>Lot de 2 (à préciser SM ou SL)</v>
      </c>
      <c r="Q11" s="5" t="str">
        <f>IFERROR(__xludf.DUMMYFUNCTION("SWITCH(REGEXEXTRACT(M11,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REGEXEXTRACT(M11, "&amp;"""-[SML23](.*)""))"),"Argent")</f>
        <v>Argent</v>
      </c>
      <c r="X11" s="6" t="s">
        <v>78</v>
      </c>
      <c r="AA11" s="5" t="str">
        <f>IFERROR(__xludf.DUMMYFUNCTION("SWITCH(REGEXEXTRACT(X11, ""-(.)""), ""S"", ""S"", ""M"", ""M"", ""L"", ""L"", ""2"", ""Lot de 2 (à préciser SM ou SL)"", ""3"", ""Lot de 3"", ""Taille non reconnue"")"),"L")</f>
        <v>L</v>
      </c>
    </row>
    <row r="12" ht="22.5" customHeight="1">
      <c r="A12" s="3" t="s">
        <v>79</v>
      </c>
      <c r="B12" s="4" t="s">
        <v>80</v>
      </c>
      <c r="D12" s="5" t="str">
        <f>IFERROR(__xludf.DUMMYFUNCTION("SWITCH(REGEXEXTRACT(A12, ""-(.)""), ""S"", ""S"", ""M"", ""M"", ""L"", ""L"", ""2"", ""Lot de 2 (à préciser SM ou SL)"", ""3"", ""Lot de 3"", ""Taille non reconnue"")"),"Lot de 3")</f>
        <v>Lot de 3</v>
      </c>
      <c r="E12" s="5" t="str">
        <f>IFERROR(__xludf.DUMMYFUNCTION("SWITCH(REGEXEXTRACT(A12,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REGEXEXTRACT(A12, "&amp;"""-[SML23](.*)""))"),"Argent")</f>
        <v>Argent</v>
      </c>
      <c r="G12" s="6" t="s">
        <v>81</v>
      </c>
      <c r="H12" s="4" t="s">
        <v>31</v>
      </c>
      <c r="J12" s="5" t="str">
        <f>IFERROR(__xludf.DUMMYFUNCTION("SWITCH(REGEXEXTRACT(G12, ""(.{2})-""), ""01"", ""L"", ""02"", ""XL"", ""Taille non reconnue"")"),"XL")</f>
        <v>XL</v>
      </c>
      <c r="K12" s="5" t="str">
        <f>IFERROR(__xludf.DUMMYFUNCTION("SWITCH(REGEXEXTRACT(G12,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REGEXEXTRACT(G12, ""-[0-9](.*)""))"),"BLK ")</f>
        <v>BLK </v>
      </c>
      <c r="M12" s="6" t="s">
        <v>82</v>
      </c>
      <c r="N12" s="4" t="s">
        <v>83</v>
      </c>
      <c r="P12" s="5" t="str">
        <f>IFERROR(__xludf.DUMMYFUNCTION("SWITCH(REGEXEXTRACT(M12, ""-(.)""), ""S"", ""S"", ""M"", ""M"", ""L"", ""L"", ""2"", ""Lot de 2 (à préciser SM ou SL)"", ""3"", ""Lot de 3"", ""Taille non reconnue"")"),"Lot de 2 (à préciser SM ou SL)")</f>
        <v>Lot de 2 (à préciser SM ou SL)</v>
      </c>
      <c r="Q12" s="5" t="str">
        <f>IFERROR(__xludf.DUMMYFUNCTION("SWITCH(REGEXEXTRACT(M12,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REGEXEXTRACT(M12, "&amp;"""-[SML23](.*)""))"),"Vert d'eau")</f>
        <v>Vert d'eau</v>
      </c>
      <c r="X12" s="6" t="s">
        <v>84</v>
      </c>
      <c r="AA12" s="5" t="str">
        <f>IFERROR(__xludf.DUMMYFUNCTION("SWITCH(REGEXEXTRACT(X12, ""-(.)""), ""S"", ""S"", ""M"", ""M"", ""L"", ""L"", ""2"", ""Lot de 2 (à préciser SM ou SL)"", ""3"", ""Lot de 3"", ""Taille non reconnue"")"),"L")</f>
        <v>L</v>
      </c>
    </row>
    <row r="13" ht="22.5" customHeight="1">
      <c r="A13" s="3" t="s">
        <v>85</v>
      </c>
      <c r="B13" s="4" t="s">
        <v>83</v>
      </c>
      <c r="D13" s="5" t="str">
        <f>IFERROR(__xludf.DUMMYFUNCTION("SWITCH(REGEXEXTRACT(A13, ""-(.)""), ""S"", ""S"", ""M"", ""M"", ""L"", ""L"", ""2"", ""Lot de 2 (à préciser SM ou SL)"", ""3"", ""Lot de 3"", ""Taille non reconnue"")"),"Lot de 3")</f>
        <v>Lot de 3</v>
      </c>
      <c r="E13" s="5" t="str">
        <f>IFERROR(__xludf.DUMMYFUNCTION("SWITCH(REGEXEXTRACT(A13,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REGEXEXTRACT(A13, "&amp;"""-[SML23](.*)""))"),"Vert d'eau")</f>
        <v>Vert d'eau</v>
      </c>
      <c r="G13" s="6" t="s">
        <v>86</v>
      </c>
      <c r="H13" s="4" t="s">
        <v>86</v>
      </c>
      <c r="I13" s="8" t="s">
        <v>87</v>
      </c>
      <c r="J13" s="5" t="str">
        <f>IFERROR(__xludf.DUMMYFUNCTION("SWITCH(REGEXEXTRACT(G13, ""(.{2})-""), ""01"", ""L"", ""02"", ""XL"", ""Taille non reconnue"")"),"XL")</f>
        <v>XL</v>
      </c>
      <c r="K13" s="5" t="str">
        <f>IFERROR(__xludf.DUMMYFUNCTION("SWITCH(REGEXEXTRACT(G13,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REGEXEXTRACT(G13, ""-[0-9](.*)""))"),"Bleu grisé")</f>
        <v>Bleu grisé</v>
      </c>
      <c r="M13" s="6" t="s">
        <v>88</v>
      </c>
      <c r="N13" s="4" t="s">
        <v>89</v>
      </c>
      <c r="P13" s="5" t="str">
        <f>IFERROR(__xludf.DUMMYFUNCTION("SWITCH(REGEXEXTRACT(M13, ""-(.)""), ""S"", ""S"", ""M"", ""M"", ""L"", ""L"", ""2"", ""Lot de 2 (à préciser SM ou SL)"", ""3"", ""Lot de 3"", ""Taille non reconnue"")"),"Lot de 3")</f>
        <v>Lot de 3</v>
      </c>
      <c r="Q13" s="5" t="str">
        <f>IFERROR(__xludf.DUMMYFUNCTION("SWITCH(REGEXEXTRACT(M13,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REGEXEXTRACT(M13, "&amp;"""-[SML23](.*)""))"),"Noir")</f>
        <v>Noir</v>
      </c>
      <c r="X13" s="6" t="s">
        <v>90</v>
      </c>
      <c r="AA13" s="5" t="str">
        <f>IFERROR(__xludf.DUMMYFUNCTION("SWITCH(REGEXEXTRACT(X13, ""-(.)""), ""S"", ""S"", ""M"", ""M"", ""L"", ""L"", ""2"", ""Lot de 2 (à préciser SM ou SL)"", ""3"", ""Lot de 3"", ""Taille non reconnue"")"),"L")</f>
        <v>L</v>
      </c>
    </row>
    <row r="14" ht="22.5" customHeight="1">
      <c r="A14" s="3" t="s">
        <v>91</v>
      </c>
      <c r="B14" s="4" t="s">
        <v>13</v>
      </c>
      <c r="D14" s="5" t="str">
        <f>IFERROR(__xludf.DUMMYFUNCTION("SWITCH(REGEXEXTRACT(A14, ""-(.)""), ""S"", ""S"", ""M"", ""M"", ""L"", ""L"", ""2"", ""Lot de 2 (à préciser SM ou SL)"", ""3"", ""Lot de 3"", ""Taille non reconnue"")"),"L")</f>
        <v>L</v>
      </c>
      <c r="E14" s="5" t="str">
        <f>IFERROR(__xludf.DUMMYFUNCTION("SWITCH(REGEXEXTRACT(A14,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REGEXEXTRACT(A14, "&amp;"""-[SML23](.*)""))"),"Noir")</f>
        <v>Noir</v>
      </c>
      <c r="G14" s="6" t="s">
        <v>92</v>
      </c>
      <c r="H14" s="4" t="s">
        <v>31</v>
      </c>
      <c r="J14" s="5" t="str">
        <f>IFERROR(__xludf.DUMMYFUNCTION("SWITCH(REGEXEXTRACT(G14, ""(.{2})-""), ""01"", ""L"", ""02"", ""XL"", ""Taille non reconnue"")"),"XL")</f>
        <v>XL</v>
      </c>
      <c r="K14" s="5" t="str">
        <f>IFERROR(__xludf.DUMMYFUNCTION("SWITCH(REGEXEXTRACT(G14,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REGEXEXTRACT(G14, ""-[0-9](.*)""))"),"Champagne")</f>
        <v>Champagne</v>
      </c>
      <c r="M14" s="6" t="s">
        <v>93</v>
      </c>
      <c r="N14" s="4" t="s">
        <v>94</v>
      </c>
      <c r="P14" s="5" t="str">
        <f>IFERROR(__xludf.DUMMYFUNCTION("SWITCH(REGEXEXTRACT(M14, ""-(.)""), ""S"", ""S"", ""M"", ""M"", ""L"", ""L"", ""2"", ""Lot de 2 (à préciser SM ou SL)"", ""3"", ""Lot de 3"", ""Taille non reconnue"")"),"Lot de 3")</f>
        <v>Lot de 3</v>
      </c>
      <c r="Q14" s="5" t="str">
        <f>IFERROR(__xludf.DUMMYFUNCTION("SWITCH(REGEXEXTRACT(M14,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REGEXEXTRACT(M14, "&amp;"""-[SML23](.*)""))"),"Bleu")</f>
        <v>Bleu</v>
      </c>
      <c r="X14" s="6" t="s">
        <v>95</v>
      </c>
      <c r="AA14" s="5" t="str">
        <f>IFERROR(__xludf.DUMMYFUNCTION("SWITCH(REGEXEXTRACT(X14, ""-(.)""), ""S"", ""S"", ""M"", ""M"", ""L"", ""L"", ""2"", ""Lot de 2 (à préciser SM ou SL)"", ""3"", ""Lot de 3"", ""Taille non reconnue"")"),"L")</f>
        <v>L</v>
      </c>
    </row>
    <row r="15" ht="22.5" customHeight="1">
      <c r="A15" s="3" t="s">
        <v>96</v>
      </c>
      <c r="B15" s="4" t="s">
        <v>21</v>
      </c>
      <c r="D15" s="5" t="str">
        <f>IFERROR(__xludf.DUMMYFUNCTION("SWITCH(REGEXEXTRACT(A15, ""-(.)""), ""S"", ""S"", ""M"", ""M"", ""L"", ""L"", ""2"", ""Lot de 2 (à préciser SM ou SL)"", ""3"", ""Lot de 3"", ""Taille non reconnue"")"),"L")</f>
        <v>L</v>
      </c>
      <c r="E15" s="5" t="str">
        <f>IFERROR(__xludf.DUMMYFUNCTION("SWITCH(REGEXEXTRACT(A15,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REGEXEXTRACT(A15, "&amp;"""-[SML23](.*)""))"),"Bleu Klein")</f>
        <v>Bleu Klein</v>
      </c>
      <c r="G15" s="6" t="s">
        <v>97</v>
      </c>
      <c r="H15" s="4" t="s">
        <v>31</v>
      </c>
      <c r="J15" s="5" t="str">
        <f>IFERROR(__xludf.DUMMYFUNCTION("SWITCH(REGEXEXTRACT(G15, ""(.{2})-""), ""01"", ""L"", ""02"", ""XL"", ""Taille non reconnue"")"),"XL")</f>
        <v>XL</v>
      </c>
      <c r="K15" s="5" t="str">
        <f>IFERROR(__xludf.DUMMYFUNCTION("SWITCH(REGEXEXTRACT(G15,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REGEXEXTRACT(G15, ""-[0-9](.*)""))"),"DRE ")</f>
        <v>DRE </v>
      </c>
      <c r="M15" s="6" t="s">
        <v>98</v>
      </c>
      <c r="N15" s="9" t="s">
        <v>99</v>
      </c>
      <c r="O15" s="8" t="s">
        <v>100</v>
      </c>
      <c r="P15" s="5" t="str">
        <f>IFERROR(__xludf.DUMMYFUNCTION("SWITCH(REGEXEXTRACT(M15, ""-(.)""), ""S"", ""S"", ""M"", ""M"", ""L"", ""L"", ""2"", ""Lot de 2 (à préciser SM ou SL)"", ""3"", ""Lot de 3"", ""Taille non reconnue"")"),"Lot de 3")</f>
        <v>Lot de 3</v>
      </c>
      <c r="Q15" s="8" t="s">
        <v>101</v>
      </c>
      <c r="X15" s="6" t="s">
        <v>102</v>
      </c>
      <c r="AA15" s="5" t="str">
        <f>IFERROR(__xludf.DUMMYFUNCTION("SWITCH(REGEXEXTRACT(X15, ""-(.)""), ""S"", ""S"", ""M"", ""M"", ""L"", ""L"", ""2"", ""Lot de 2 (à préciser SM ou SL)"", ""3"", ""Lot de 3"", ""Taille non reconnue"")"),"L")</f>
        <v>L</v>
      </c>
    </row>
    <row r="16" ht="22.5" customHeight="1">
      <c r="A16" s="3" t="s">
        <v>103</v>
      </c>
      <c r="B16" s="4" t="s">
        <v>29</v>
      </c>
      <c r="D16" s="5" t="str">
        <f>IFERROR(__xludf.DUMMYFUNCTION("SWITCH(REGEXEXTRACT(A16, ""-(.)""), ""S"", ""S"", ""M"", ""M"", ""L"", ""L"", ""2"", ""Lot de 2 (à préciser SM ou SL)"", ""3"", ""Lot de 3"", ""Taille non reconnue"")"),"L")</f>
        <v>L</v>
      </c>
      <c r="E16" s="5" t="str">
        <f>IFERROR(__xludf.DUMMYFUNCTION("SWITCH(REGEXEXTRACT(A16,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REGEXEXTRACT(A16, "&amp;"""-[SML23](.*)""))"),"Champagne")</f>
        <v>Champagne</v>
      </c>
      <c r="G16" s="6" t="s">
        <v>63</v>
      </c>
      <c r="H16" s="4" t="s">
        <v>63</v>
      </c>
      <c r="J16" s="5" t="str">
        <f>IFERROR(__xludf.DUMMYFUNCTION("SWITCH(REGEXEXTRACT(G16, ""(.{2})-""), ""01"", ""L"", ""02"", ""XL"", ""Taille non reconnue"")"),"XL")</f>
        <v>XL</v>
      </c>
      <c r="K16" s="5" t="str">
        <f>IFERROR(__xludf.DUMMYFUNCTION("SWITCH(REGEXEXTRACT(G16,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REGEXEXTRACT(G16, ""-[0-9](.*)""))"),"Nude")</f>
        <v>Nude</v>
      </c>
      <c r="M16" s="6" t="s">
        <v>104</v>
      </c>
      <c r="N16" s="4" t="s">
        <v>25</v>
      </c>
      <c r="P16" s="5" t="str">
        <f>IFERROR(__xludf.DUMMYFUNCTION("SWITCH(REGEXEXTRACT(M16, ""-(.)""), ""S"", ""S"", ""M"", ""M"", ""L"", ""L"", ""2"", ""Lot de 2 (à préciser SM ou SL)"", ""3"", ""Lot de 3"", ""Taille non reconnue"")"),"Lot de 3")</f>
        <v>Lot de 3</v>
      </c>
      <c r="Q16" s="5" t="str">
        <f>IFERROR(__xludf.DUMMYFUNCTION("SWITCH(REGEXEXTRACT(M16,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REGEXEXTRACT(M16, "&amp;"""-[SML23](.*)""))"),"Champagne")</f>
        <v>Champagne</v>
      </c>
      <c r="X16" s="6" t="s">
        <v>105</v>
      </c>
      <c r="AA16" s="5" t="str">
        <f>IFERROR(__xludf.DUMMYFUNCTION("SWITCH(REGEXEXTRACT(X16, ""-(.)""), ""S"", ""S"", ""M"", ""M"", ""L"", ""L"", ""2"", ""Lot de 2 (à préciser SM ou SL)"", ""3"", ""Lot de 3"", ""Taille non reconnue"")"),"L")</f>
        <v>L</v>
      </c>
    </row>
    <row r="17" ht="22.5" customHeight="1">
      <c r="A17" s="3" t="s">
        <v>106</v>
      </c>
      <c r="B17" s="4" t="s">
        <v>37</v>
      </c>
      <c r="D17" s="5" t="str">
        <f>IFERROR(__xludf.DUMMYFUNCTION("SWITCH(REGEXEXTRACT(A17, ""-(.)""), ""S"", ""S"", ""M"", ""M"", ""L"", ""L"", ""2"", ""Lot de 2 (à préciser SM ou SL)"", ""3"", ""Lot de 3"", ""Taille non reconnue"")"),"L")</f>
        <v>L</v>
      </c>
      <c r="E17" s="5" t="str">
        <f>IFERROR(__xludf.DUMMYFUNCTION("SWITCH(REGEXEXTRACT(A17,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REGEXEXTRACT(A17, "&amp;"""-[SML23](.*)""))"),"Orange")</f>
        <v>Orange</v>
      </c>
      <c r="G17" s="6" t="s">
        <v>107</v>
      </c>
      <c r="H17" s="4" t="s">
        <v>31</v>
      </c>
      <c r="J17" s="5" t="str">
        <f>IFERROR(__xludf.DUMMYFUNCTION("SWITCH(REGEXEXTRACT(G17, ""(.{2})-""), ""01"", ""L"", ""02"", ""XL"", ""Taille non reconnue"")"),"XL")</f>
        <v>XL</v>
      </c>
      <c r="K17" s="5" t="str">
        <f>IFERROR(__xludf.DUMMYFUNCTION("SWITCH(REGEXEXTRACT(G17,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REGEXEXTRACT(G17, ""-[0-9](.*)""))"),"Rose gold")</f>
        <v>Rose gold</v>
      </c>
      <c r="M17" s="6" t="s">
        <v>108</v>
      </c>
      <c r="N17" s="4" t="s">
        <v>33</v>
      </c>
      <c r="O17" s="8" t="s">
        <v>109</v>
      </c>
      <c r="P17" s="5" t="str">
        <f>IFERROR(__xludf.DUMMYFUNCTION("SWITCH(REGEXEXTRACT(M17, ""-(.)""), ""S"", ""S"", ""M"", ""M"", ""L"", ""L"", ""2"", ""Lot de 2 (à préciser SM ou SL)"", ""3"", ""Lot de 3"", ""Taille non reconnue"")"),"Lot de 3")</f>
        <v>Lot de 3</v>
      </c>
      <c r="Q17" s="5" t="str">
        <f>IFERROR(__xludf.DUMMYFUNCTION("SWITCH(REGEXEXTRACT(M17,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REGEXEXTRACT(M17, "&amp;"""-[SML23](.*)""))"),"DGR")</f>
        <v>DGR</v>
      </c>
      <c r="X17" s="6" t="s">
        <v>110</v>
      </c>
      <c r="AA17" s="5" t="str">
        <f>IFERROR(__xludf.DUMMYFUNCTION("SWITCH(REGEXEXTRACT(X17, ""-(.)""), ""S"", ""S"", ""M"", ""M"", ""L"", ""L"", ""2"", ""Lot de 2 (à préciser SM ou SL)"", ""3"", ""Lot de 3"", ""Taille non reconnue"")"),"L")</f>
        <v>L</v>
      </c>
    </row>
    <row r="18" ht="22.5" customHeight="1">
      <c r="A18" s="3" t="s">
        <v>111</v>
      </c>
      <c r="B18" s="4" t="s">
        <v>44</v>
      </c>
      <c r="D18" s="5" t="str">
        <f>IFERROR(__xludf.DUMMYFUNCTION("SWITCH(REGEXEXTRACT(A18, ""-(.)""), ""S"", ""S"", ""M"", ""M"", ""L"", ""L"", ""2"", ""Lot de 2 (à préciser SM ou SL)"", ""3"", ""Lot de 3"", ""Taille non reconnue"")"),"L")</f>
        <v>L</v>
      </c>
      <c r="E18" s="5" t="str">
        <f>IFERROR(__xludf.DUMMYFUNCTION("SWITCH(REGEXEXTRACT(A18,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REGEXEXTRACT(A18, "&amp;"""-[SML23](.*)""))"),"Dark yellow")</f>
        <v>Dark yellow</v>
      </c>
      <c r="G18" s="6" t="s">
        <v>112</v>
      </c>
      <c r="H18" s="4" t="s">
        <v>31</v>
      </c>
      <c r="J18" s="5" t="str">
        <f>IFERROR(__xludf.DUMMYFUNCTION("SWITCH(REGEXEXTRACT(G18, ""(.{2})-""), ""01"", ""L"", ""02"", ""XL"", ""Taille non reconnue"")"),"XL")</f>
        <v>XL</v>
      </c>
      <c r="K18" s="5" t="str">
        <f>IFERROR(__xludf.DUMMYFUNCTION("SWITCH(REGEXEXTRACT(G18,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REGEXEXTRACT(G18, ""-[0-9](.*)""))"),"SAP ")</f>
        <v>SAP </v>
      </c>
      <c r="M18" s="6" t="s">
        <v>113</v>
      </c>
      <c r="N18" s="9" t="s">
        <v>114</v>
      </c>
      <c r="O18" s="8" t="s">
        <v>115</v>
      </c>
      <c r="P18" s="5" t="str">
        <f>IFERROR(__xludf.DUMMYFUNCTION("SWITCH(REGEXEXTRACT(M18, ""-(.)""), ""S"", ""S"", ""M"", ""M"", ""L"", ""L"", ""2"", ""Lot de 2 (à préciser SM ou SL)"", ""3"", ""Lot de 3"", ""Taille non reconnue"")"),"Lot de 3")</f>
        <v>Lot de 3</v>
      </c>
      <c r="Q18" s="5" t="str">
        <f>IFERROR(__xludf.DUMMYFUNCTION("SWITCH(REGEXEXTRACT(M18,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REGEXEXTRACT(M18, "&amp;"""-[SML23](.*)""))"),"DGREEN")</f>
        <v>DGREEN</v>
      </c>
      <c r="X18" s="6" t="s">
        <v>116</v>
      </c>
      <c r="AA18" s="5" t="str">
        <f>IFERROR(__xludf.DUMMYFUNCTION("SWITCH(REGEXEXTRACT(X18, ""-(.)""), ""S"", ""S"", ""M"", ""M"", ""L"", ""L"", ""2"", ""Lot de 2 (à préciser SM ou SL)"", ""3"", ""Lot de 3"", ""Taille non reconnue"")"),"M")</f>
        <v>M</v>
      </c>
    </row>
    <row r="19" ht="22.5" customHeight="1">
      <c r="A19" s="3" t="s">
        <v>117</v>
      </c>
      <c r="B19" s="4" t="s">
        <v>50</v>
      </c>
      <c r="D19" s="5" t="str">
        <f>IFERROR(__xludf.DUMMYFUNCTION("SWITCH(REGEXEXTRACT(A19, ""-(.)""), ""S"", ""S"", ""M"", ""M"", ""L"", ""L"", ""2"", ""Lot de 2 (à préciser SM ou SL)"", ""3"", ""Lot de 3"", ""Taille non reconnue"")"),"L")</f>
        <v>L</v>
      </c>
      <c r="E19" s="5" t="str">
        <f>IFERROR(__xludf.DUMMYFUNCTION("SWITCH(REGEXEXTRACT(A19,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REGEXEXTRACT(A19, "&amp;"""-[SML23](.*)""))"),"Fuschia")</f>
        <v>Fuschia</v>
      </c>
      <c r="G19" s="6" t="s">
        <v>118</v>
      </c>
      <c r="H19" s="4" t="s">
        <v>31</v>
      </c>
      <c r="J19" s="5" t="str">
        <f>IFERROR(__xludf.DUMMYFUNCTION("SWITCH(REGEXEXTRACT(G19, ""(.{2})-""), ""01"", ""L"", ""02"", ""XL"", ""Taille non reconnue"")"),"XL")</f>
        <v>XL</v>
      </c>
      <c r="K19" s="5" t="str">
        <f>IFERROR(__xludf.DUMMYFUNCTION("SWITCH(REGEXEXTRACT(G19,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REGEXEXTRACT(G19, ""-[0-9](.*)""))"),"SILVER ")</f>
        <v>SILVER </v>
      </c>
      <c r="M19" s="6" t="s">
        <v>119</v>
      </c>
      <c r="N19" s="4" t="s">
        <v>120</v>
      </c>
      <c r="P19" s="5" t="str">
        <f>IFERROR(__xludf.DUMMYFUNCTION("SWITCH(REGEXEXTRACT(M19, ""-(.)""), ""S"", ""S"", ""M"", ""M"", ""L"", ""L"", ""2"", ""Lot de 2 (à préciser SM ou SL)"", ""3"", ""Lot de 3"", ""Taille non reconnue"")"),"Lot de 3")</f>
        <v>Lot de 3</v>
      </c>
      <c r="Q19" s="5" t="str">
        <f>IFERROR(__xludf.DUMMYFUNCTION("SWITCH(REGEXEXTRACT(M19,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REGEXEXTRACT(M19, "&amp;"""-[SML23](.*)""))"),"Menthe")</f>
        <v>Menthe</v>
      </c>
      <c r="X19" s="6" t="s">
        <v>121</v>
      </c>
      <c r="AA19" s="5" t="str">
        <f>IFERROR(__xludf.DUMMYFUNCTION("SWITCH(REGEXEXTRACT(X19, ""-(.)""), ""S"", ""S"", ""M"", ""M"", ""L"", ""L"", ""2"", ""Lot de 2 (à préciser SM ou SL)"", ""3"", ""Lot de 3"", ""Taille non reconnue"")"),"M")</f>
        <v>M</v>
      </c>
    </row>
    <row r="20" ht="22.5" customHeight="1">
      <c r="A20" s="3" t="s">
        <v>122</v>
      </c>
      <c r="B20" s="4" t="s">
        <v>56</v>
      </c>
      <c r="D20" s="5" t="str">
        <f>IFERROR(__xludf.DUMMYFUNCTION("SWITCH(REGEXEXTRACT(A20, ""-(.)""), ""S"", ""S"", ""M"", ""M"", ""L"", ""L"", ""2"", ""Lot de 2 (à préciser SM ou SL)"", ""3"", ""Lot de 3"", ""Taille non reconnue"")"),"L")</f>
        <v>L</v>
      </c>
      <c r="E20" s="5" t="str">
        <f>IFERROR(__xludf.DUMMYFUNCTION("SWITCH(REGEXEXTRACT(A20,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REGEXEXTRACT(A20, "&amp;"""-[SML23](.*)""))"),"Marine")</f>
        <v>Marine</v>
      </c>
      <c r="G20" s="6" t="s">
        <v>123</v>
      </c>
      <c r="H20" s="4" t="s">
        <v>31</v>
      </c>
      <c r="J20" s="5" t="str">
        <f>IFERROR(__xludf.DUMMYFUNCTION("SWITCH(REGEXEXTRACT(G20, ""(.{2})-""), ""01"", ""L"", ""02"", ""XL"", ""Taille non reconnue"")"),"XL")</f>
        <v>XL</v>
      </c>
      <c r="K20" s="5" t="str">
        <f>IFERROR(__xludf.DUMMYFUNCTION("SWITCH(REGEXEXTRACT(G20,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REGEXEXTRACT(G20, ""-[0-9](.*)""))"),"NOIR")</f>
        <v>NOIR</v>
      </c>
      <c r="M20" s="6" t="s">
        <v>124</v>
      </c>
      <c r="N20" s="4" t="s">
        <v>125</v>
      </c>
      <c r="P20" s="5" t="str">
        <f>IFERROR(__xludf.DUMMYFUNCTION("SWITCH(REGEXEXTRACT(M20, ""-(.)""), ""S"", ""S"", ""M"", ""M"", ""L"", ""L"", ""2"", ""Lot de 2 (à préciser SM ou SL)"", ""3"", ""Lot de 3"", ""Taille non reconnue"")"),"Lot de 3")</f>
        <v>Lot de 3</v>
      </c>
      <c r="Q20" s="5" t="str">
        <f>IFERROR(__xludf.DUMMYFUNCTION("SWITCH(REGEXEXTRACT(M20,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REGEXEXTRACT(M20, "&amp;"""-[SML23](.*)""))"),"Marine")</f>
        <v>Marine</v>
      </c>
      <c r="X20" s="6" t="s">
        <v>126</v>
      </c>
      <c r="AA20" s="5" t="str">
        <f>IFERROR(__xludf.DUMMYFUNCTION("SWITCH(REGEXEXTRACT(X20, ""-(.)""), ""S"", ""S"", ""M"", ""M"", ""L"", ""L"", ""2"", ""Lot de 2 (à préciser SM ou SL)"", ""3"", ""Lot de 3"", ""Taille non reconnue"")"),"M")</f>
        <v>M</v>
      </c>
    </row>
    <row r="21" ht="22.5" customHeight="1">
      <c r="A21" s="3" t="s">
        <v>127</v>
      </c>
      <c r="B21" s="4" t="s">
        <v>37</v>
      </c>
      <c r="D21" s="5" t="str">
        <f>IFERROR(__xludf.DUMMYFUNCTION("SWITCH(REGEXEXTRACT(A21, ""-(.)""), ""S"", ""S"", ""M"", ""M"", ""L"", ""L"", ""2"", ""Lot de 2 (à préciser SM ou SL)"", ""3"", ""Lot de 3"", ""Taille non reconnue"")"),"L")</f>
        <v>L</v>
      </c>
      <c r="E21" s="5" t="str">
        <f>IFERROR(__xludf.DUMMYFUNCTION("SWITCH(REGEXEXTRACT(A21,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REGEXEXTRACT(A21, "&amp;"""-[SML23](.*)""))"),"Orange")</f>
        <v>Orange</v>
      </c>
      <c r="G21" s="6" t="s">
        <v>128</v>
      </c>
      <c r="H21" s="4" t="s">
        <v>86</v>
      </c>
      <c r="I21" s="8" t="s">
        <v>87</v>
      </c>
      <c r="J21" s="5" t="str">
        <f>IFERROR(__xludf.DUMMYFUNCTION("SWITCH(REGEXEXTRACT(G21, ""(.{2})-""), ""01"", ""L"", ""02"", ""XL"", ""Taille non reconnue"")"),"XL")</f>
        <v>XL</v>
      </c>
      <c r="K21" s="5" t="str">
        <f>IFERROR(__xludf.DUMMYFUNCTION("SWITCH(REGEXEXTRACT(G21, ""-[0-9](.*)""), ""BLK"", ""NOIR"", ""CHA"", ""Champagne"", ""DRE"", ""Dark red"", ""SAP"", ""Sapin"", ""SLV"", ""Argent"", ""SILVER"", ""Argent"", ""BLU"", ""Bleu"", ""BLEU"", ""Bleu"", ""BLEUL"", ""Bleu"", ""BLUK"", ""Bleu Klein"&amp;""", ""BLUG"", ""Bleu grisé"", ""ORA"", ""Orange"", ""DORA"", ""Orange"", ""REDP"", ""Rouge patou"", ""RED"", ""Rouge"", ""VEU"", ""Vert d'eau"", ""WHT"", ""Blanc"", ""NAV"", ""Marine"", ""FSH"", ""Fuschia"", ""MIN"", ""Menthe"", ""NUD"", ""Nude"", ""PGD"""&amp;", ""Rose gold"", REGEXEXTRACT(G21, ""-[0-9](.*)""))"),"Bleu grisé")</f>
        <v>Bleu grisé</v>
      </c>
      <c r="M21" s="6" t="s">
        <v>129</v>
      </c>
      <c r="N21" s="4" t="s">
        <v>130</v>
      </c>
      <c r="P21" s="5" t="str">
        <f>IFERROR(__xludf.DUMMYFUNCTION("SWITCH(REGEXEXTRACT(M21, ""-(.)""), ""S"", ""S"", ""M"", ""M"", ""L"", ""L"", ""2"", ""Lot de 2 (à préciser SM ou SL)"", ""3"", ""Lot de 3"", ""Taille non reconnue"")"),"Lot de 3")</f>
        <v>Lot de 3</v>
      </c>
      <c r="Q21" s="5" t="str">
        <f>IFERROR(__xludf.DUMMYFUNCTION("SWITCH(REGEXEXTRACT(M21,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REGEXEXTRACT(M21, "&amp;"""-[SML23](.*)""))"),"PGD")</f>
        <v>PGD</v>
      </c>
      <c r="X21" s="6" t="s">
        <v>131</v>
      </c>
      <c r="AA21" s="5" t="str">
        <f>IFERROR(__xludf.DUMMYFUNCTION("SWITCH(REGEXEXTRACT(X21, ""-(.)""), ""S"", ""S"", ""M"", ""M"", ""L"", ""L"", ""2"", ""Lot de 2 (à préciser SM ou SL)"", ""3"", ""Lot de 3"", ""Taille non reconnue"")"),"M")</f>
        <v>M</v>
      </c>
    </row>
    <row r="22" ht="22.5" customHeight="1">
      <c r="A22" s="3" t="s">
        <v>132</v>
      </c>
      <c r="B22" s="4" t="s">
        <v>69</v>
      </c>
      <c r="D22" s="5" t="str">
        <f>IFERROR(__xludf.DUMMYFUNCTION("SWITCH(REGEXEXTRACT(A22, ""-(.)""), ""S"", ""S"", ""M"", ""M"", ""L"", ""L"", ""2"", ""Lot de 2 (à préciser SM ou SL)"", ""3"", ""Lot de 3"", ""Taille non reconnue"")"),"L")</f>
        <v>L</v>
      </c>
      <c r="E22" s="5" t="str">
        <f>IFERROR(__xludf.DUMMYFUNCTION("SWITCH(REGEXEXTRACT(A22,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REGEXEXTRACT(A22, "&amp;"""-[SML23](.*)""))"),"Rouge")</f>
        <v>Rouge</v>
      </c>
      <c r="M22" s="6" t="s">
        <v>133</v>
      </c>
      <c r="N22" s="4" t="s">
        <v>134</v>
      </c>
      <c r="P22" s="5" t="str">
        <f>IFERROR(__xludf.DUMMYFUNCTION("SWITCH(REGEXEXTRACT(M22, ""-(.)""), ""S"", ""S"", ""M"", ""M"", ""L"", ""L"", ""2"", ""Lot de 2 (à préciser SM ou SL)"", ""3"", ""Lot de 3"", ""Taille non reconnue"")"),"Lot de 3")</f>
        <v>Lot de 3</v>
      </c>
      <c r="Q22" s="5" t="str">
        <f>IFERROR(__xludf.DUMMYFUNCTION("SWITCH(REGEXEXTRACT(M22,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REGEXEXTRACT(M22, "&amp;"""-[SML23](.*)""))"),"Sapin")</f>
        <v>Sapin</v>
      </c>
      <c r="X22" s="6" t="s">
        <v>135</v>
      </c>
      <c r="AA22" s="5" t="str">
        <f>IFERROR(__xludf.DUMMYFUNCTION("SWITCH(REGEXEXTRACT(X22, ""-(.)""), ""S"", ""S"", ""M"", ""M"", ""L"", ""L"", ""2"", ""Lot de 2 (à préciser SM ou SL)"", ""3"", ""Lot de 3"", ""Taille non reconnue"")"),"M")</f>
        <v>M</v>
      </c>
    </row>
    <row r="23" ht="22.5" customHeight="1">
      <c r="A23" s="3" t="s">
        <v>136</v>
      </c>
      <c r="B23" s="4" t="s">
        <v>69</v>
      </c>
      <c r="D23" s="5" t="str">
        <f>IFERROR(__xludf.DUMMYFUNCTION("SWITCH(REGEXEXTRACT(A23, ""-(.)""), ""S"", ""S"", ""M"", ""M"", ""L"", ""L"", ""2"", ""Lot de 2 (à préciser SM ou SL)"", ""3"", ""Lot de 3"", ""Taille non reconnue"")"),"L")</f>
        <v>L</v>
      </c>
      <c r="E23" s="5" t="str">
        <f>IFERROR(__xludf.DUMMYFUNCTION("SWITCH(REGEXEXTRACT(A23,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REGEXEXTRACT(A23, "&amp;"""-[SML23](.*)""))"),"Rouge patou")</f>
        <v>Rouge patou</v>
      </c>
      <c r="M23" s="6" t="s">
        <v>137</v>
      </c>
      <c r="N23" s="4" t="s">
        <v>77</v>
      </c>
      <c r="P23" s="5" t="str">
        <f>IFERROR(__xludf.DUMMYFUNCTION("SWITCH(REGEXEXTRACT(M23, ""-(.)""), ""S"", ""S"", ""M"", ""M"", ""L"", ""L"", ""2"", ""Lot de 2 (à préciser SM ou SL)"", ""3"", ""Lot de 3"", ""Taille non reconnue"")"),"Lot de 3")</f>
        <v>Lot de 3</v>
      </c>
      <c r="Q23" s="5" t="str">
        <f>IFERROR(__xludf.DUMMYFUNCTION("SWITCH(REGEXEXTRACT(M23,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REGEXEXTRACT(M23, "&amp;"""-[SML23](.*)""))"),"Argent")</f>
        <v>Argent</v>
      </c>
      <c r="X23" s="6" t="s">
        <v>138</v>
      </c>
      <c r="AA23" s="5" t="str">
        <f>IFERROR(__xludf.DUMMYFUNCTION("SWITCH(REGEXEXTRACT(X23, ""-(.)""), ""S"", ""S"", ""M"", ""M"", ""L"", ""L"", ""2"", ""Lot de 2 (à préciser SM ou SL)"", ""3"", ""Lot de 3"", ""Taille non reconnue"")"),"M")</f>
        <v>M</v>
      </c>
    </row>
    <row r="24" ht="22.5" customHeight="1">
      <c r="A24" s="3" t="s">
        <v>139</v>
      </c>
      <c r="B24" s="4" t="s">
        <v>74</v>
      </c>
      <c r="D24" s="5" t="str">
        <f>IFERROR(__xludf.DUMMYFUNCTION("SWITCH(REGEXEXTRACT(A24, ""-(.)""), ""S"", ""S"", ""M"", ""M"", ""L"", ""L"", ""2"", ""Lot de 2 (à préciser SM ou SL)"", ""3"", ""Lot de 3"", ""Taille non reconnue"")"),"L")</f>
        <v>L</v>
      </c>
      <c r="E24" s="5" t="str">
        <f>IFERROR(__xludf.DUMMYFUNCTION("SWITCH(REGEXEXTRACT(A24,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REGEXEXTRACT(A24, "&amp;"""-[SML23](.*)""))"),"Sapin")</f>
        <v>Sapin</v>
      </c>
      <c r="M24" s="6" t="s">
        <v>140</v>
      </c>
      <c r="N24" s="10" t="s">
        <v>17</v>
      </c>
      <c r="O24" s="11"/>
      <c r="P24" s="11" t="str">
        <f>IFERROR(__xludf.DUMMYFUNCTION("SWITCH(REGEXEXTRACT(M24, ""-(.)""), ""S"", ""S"", ""M"", ""M"", ""L"", ""L"", ""2"", ""Lot de 2 (à préciser SM ou SL)"", ""3"", ""Lot de 3"", ""Taille non reconnue"")"),"Lot de 2 (à préciser SM ou SL)")</f>
        <v>Lot de 2 (à préciser SM ou SL)</v>
      </c>
      <c r="Q24" s="11" t="str">
        <f>IFERROR(__xludf.DUMMYFUNCTION("SWITCH(REGEXEXTRACT(M24,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REGEXEXTRACT(M24, "&amp;"""-[SML23](.*)""))"),"Noir")</f>
        <v>Noir</v>
      </c>
      <c r="X24" s="6" t="s">
        <v>141</v>
      </c>
      <c r="AA24" s="5" t="str">
        <f>IFERROR(__xludf.DUMMYFUNCTION("SWITCH(REGEXEXTRACT(X24, ""-(.)""), ""S"", ""S"", ""M"", ""M"", ""L"", ""L"", ""2"", ""Lot de 2 (à préciser SM ou SL)"", ""3"", ""Lot de 3"", ""Taille non reconnue"")"),"M")</f>
        <v>M</v>
      </c>
    </row>
    <row r="25" ht="22.5" customHeight="1">
      <c r="A25" s="3" t="s">
        <v>142</v>
      </c>
      <c r="B25" s="4" t="s">
        <v>80</v>
      </c>
      <c r="D25" s="5" t="str">
        <f>IFERROR(__xludf.DUMMYFUNCTION("SWITCH(REGEXEXTRACT(A25, ""-(.)""), ""S"", ""S"", ""M"", ""M"", ""L"", ""L"", ""2"", ""Lot de 2 (à préciser SM ou SL)"", ""3"", ""Lot de 3"", ""Taille non reconnue"")"),"L")</f>
        <v>L</v>
      </c>
      <c r="E25" s="5" t="str">
        <f>IFERROR(__xludf.DUMMYFUNCTION("SWITCH(REGEXEXTRACT(A25,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REGEXEXTRACT(A25, "&amp;"""-[SML23](.*)""))"),"Argent")</f>
        <v>Argent</v>
      </c>
      <c r="M25" s="6" t="s">
        <v>143</v>
      </c>
      <c r="N25" s="10" t="s">
        <v>17</v>
      </c>
      <c r="O25" s="11"/>
      <c r="P25" s="11" t="str">
        <f>IFERROR(__xludf.DUMMYFUNCTION("SWITCH(REGEXEXTRACT(M25, ""-(.)""), ""S"", ""S"", ""M"", ""M"", ""L"", ""L"", ""2"", ""Lot de 2 (à préciser SM ou SL)"", ""3"", ""Lot de 3"", ""Taille non reconnue"")"),"Lot de 2 (à préciser SM ou SL)")</f>
        <v>Lot de 2 (à préciser SM ou SL)</v>
      </c>
      <c r="Q25" s="11" t="str">
        <f>IFERROR(__xludf.DUMMYFUNCTION("SWITCH(REGEXEXTRACT(M25,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REGEXEXTRACT(M25, "&amp;"""-[SML23](.*)""))"),"Champagne")</f>
        <v>Champagne</v>
      </c>
      <c r="X25" s="6" t="s">
        <v>144</v>
      </c>
      <c r="AA25" s="5" t="str">
        <f>IFERROR(__xludf.DUMMYFUNCTION("SWITCH(REGEXEXTRACT(X25, ""-(.)""), ""S"", ""S"", ""M"", ""M"", ""L"", ""L"", ""2"", ""Lot de 2 (à préciser SM ou SL)"", ""3"", ""Lot de 3"", ""Taille non reconnue"")"),"M")</f>
        <v>M</v>
      </c>
    </row>
    <row r="26" ht="22.5" customHeight="1">
      <c r="A26" s="3" t="s">
        <v>145</v>
      </c>
      <c r="B26" s="4" t="s">
        <v>83</v>
      </c>
      <c r="D26" s="5" t="str">
        <f>IFERROR(__xludf.DUMMYFUNCTION("SWITCH(REGEXEXTRACT(A26, ""-(.)""), ""S"", ""S"", ""M"", ""M"", ""L"", ""L"", ""2"", ""Lot de 2 (à préciser SM ou SL)"", ""3"", ""Lot de 3"", ""Taille non reconnue"")"),"L")</f>
        <v>L</v>
      </c>
      <c r="E26" s="5" t="str">
        <f>IFERROR(__xludf.DUMMYFUNCTION("SWITCH(REGEXEXTRACT(A26,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REGEXEXTRACT(A26, "&amp;"""-[SML23](.*)""))"),"Vert d'eau")</f>
        <v>Vert d'eau</v>
      </c>
      <c r="M26" s="6" t="s">
        <v>146</v>
      </c>
      <c r="N26" s="10" t="s">
        <v>17</v>
      </c>
      <c r="O26" s="11"/>
      <c r="P26" s="11" t="str">
        <f>IFERROR(__xludf.DUMMYFUNCTION("SWITCH(REGEXEXTRACT(M26, ""-(.)""), ""S"", ""S"", ""M"", ""M"", ""L"", ""L"", ""2"", ""Lot de 2 (à préciser SM ou SL)"", ""3"", ""Lot de 3"", ""Taille non reconnue"")"),"Lot de 2 (à préciser SM ou SL)")</f>
        <v>Lot de 2 (à préciser SM ou SL)</v>
      </c>
      <c r="Q26" s="11" t="str">
        <f>IFERROR(__xludf.DUMMYFUNCTION("SWITCH(REGEXEXTRACT(M26,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REGEXEXTRACT(M26, "&amp;"""-[SML23](.*)""))"),"Dark red")</f>
        <v>Dark red</v>
      </c>
      <c r="X26" s="6" t="s">
        <v>147</v>
      </c>
      <c r="AA26" s="5" t="str">
        <f>IFERROR(__xludf.DUMMYFUNCTION("SWITCH(REGEXEXTRACT(X26, ""-(.)""), ""S"", ""S"", ""M"", ""M"", ""L"", ""L"", ""2"", ""Lot de 2 (à préciser SM ou SL)"", ""3"", ""Lot de 3"", ""Taille non reconnue"")"),"M")</f>
        <v>M</v>
      </c>
    </row>
    <row r="27" ht="22.5" customHeight="1">
      <c r="A27" s="3" t="s">
        <v>148</v>
      </c>
      <c r="B27" s="4" t="s">
        <v>13</v>
      </c>
      <c r="D27" s="5" t="str">
        <f>IFERROR(__xludf.DUMMYFUNCTION("SWITCH(REGEXEXTRACT(A27, ""-(.)""), ""S"", ""S"", ""M"", ""M"", ""L"", ""L"", ""2"", ""Lot de 2 (à préciser SM ou SL)"", ""3"", ""Lot de 3"", ""Taille non reconnue"")"),"M")</f>
        <v>M</v>
      </c>
      <c r="E27" s="5" t="str">
        <f>IFERROR(__xludf.DUMMYFUNCTION("SWITCH(REGEXEXTRACT(A27,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REGEXEXTRACT(A27, "&amp;"""-[SML23](.*)""))"),"Noir")</f>
        <v>Noir</v>
      </c>
      <c r="M27" s="6" t="s">
        <v>149</v>
      </c>
      <c r="N27" s="4" t="s">
        <v>150</v>
      </c>
      <c r="O27" s="11"/>
      <c r="P27" s="11" t="str">
        <f>IFERROR(__xludf.DUMMYFUNCTION("SWITCH(REGEXEXTRACT(M27, ""-(.)""), ""S"", ""S"", ""M"", ""M"", ""L"", ""L"", ""2"", ""Lot de 2 (à préciser SM ou SL)"", ""3"", ""Lot de 3"", ""Taille non reconnue"")"),"Lot de 2 (à préciser SM ou SL)")</f>
        <v>Lot de 2 (à préciser SM ou SL)</v>
      </c>
      <c r="Q27" s="11" t="str">
        <f>IFERROR(__xludf.DUMMYFUNCTION("SWITCH(REGEXEXTRACT(M27,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REGEXEXTRACT(M27, "&amp;"""-[SML23](.*)""))"),"Orange")</f>
        <v>Orange</v>
      </c>
      <c r="X27" s="6" t="s">
        <v>151</v>
      </c>
      <c r="AA27" s="5" t="str">
        <f>IFERROR(__xludf.DUMMYFUNCTION("SWITCH(REGEXEXTRACT(X27, ""-(.)""), ""S"", ""S"", ""M"", ""M"", ""L"", ""L"", ""2"", ""Lot de 2 (à préciser SM ou SL)"", ""3"", ""Lot de 3"", ""Taille non reconnue"")"),"S")</f>
        <v>S</v>
      </c>
    </row>
    <row r="28" ht="22.5" customHeight="1">
      <c r="A28" s="3" t="s">
        <v>152</v>
      </c>
      <c r="B28" s="4" t="s">
        <v>21</v>
      </c>
      <c r="D28" s="5" t="str">
        <f>IFERROR(__xludf.DUMMYFUNCTION("SWITCH(REGEXEXTRACT(A28, ""-(.)""), ""S"", ""S"", ""M"", ""M"", ""L"", ""L"", ""2"", ""Lot de 2 (à préciser SM ou SL)"", ""3"", ""Lot de 3"", ""Taille non reconnue"")"),"M")</f>
        <v>M</v>
      </c>
      <c r="E28" s="5" t="str">
        <f>IFERROR(__xludf.DUMMYFUNCTION("SWITCH(REGEXEXTRACT(A28,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REGEXEXTRACT(A28, "&amp;"""-[SML23](.*)""))"),"Bleu")</f>
        <v>Bleu</v>
      </c>
      <c r="M28" s="6" t="s">
        <v>153</v>
      </c>
      <c r="N28" s="12" t="s">
        <v>154</v>
      </c>
      <c r="O28" s="11"/>
      <c r="P28" s="11" t="str">
        <f>IFERROR(__xludf.DUMMYFUNCTION("SWITCH(REGEXEXTRACT(M28, ""-(.)""), ""S"", ""S"", ""M"", ""M"", ""L"", ""L"", ""2"", ""Lot de 2 (à préciser SM ou SL)"", ""3"", ""Lot de 3"", ""Taille non reconnue"")"),"Lot de 2 (à préciser SM ou SL)")</f>
        <v>Lot de 2 (à préciser SM ou SL)</v>
      </c>
      <c r="Q28" s="11" t="str">
        <f>IFERROR(__xludf.DUMMYFUNCTION("SWITCH(REGEXEXTRACT(M28,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REGEXEXTRACT(M28, "&amp;"""-[SML23](.*)""))"),"PGD")</f>
        <v>PGD</v>
      </c>
      <c r="X28" s="6" t="s">
        <v>155</v>
      </c>
      <c r="AA28" s="5" t="str">
        <f>IFERROR(__xludf.DUMMYFUNCTION("SWITCH(REGEXEXTRACT(X28, ""-(.)""), ""S"", ""S"", ""M"", ""M"", ""L"", ""L"", ""2"", ""Lot de 2 (à préciser SM ou SL)"", ""3"", ""Lot de 3"", ""Taille non reconnue"")"),"S")</f>
        <v>S</v>
      </c>
    </row>
    <row r="29" ht="22.5" customHeight="1">
      <c r="A29" s="3" t="s">
        <v>156</v>
      </c>
      <c r="B29" s="4" t="s">
        <v>21</v>
      </c>
      <c r="D29" s="5" t="str">
        <f>IFERROR(__xludf.DUMMYFUNCTION("SWITCH(REGEXEXTRACT(A29, ""-(.)""), ""S"", ""S"", ""M"", ""M"", ""L"", ""L"", ""2"", ""Lot de 2 (à préciser SM ou SL)"", ""3"", ""Lot de 3"", ""Taille non reconnue"")"),"M")</f>
        <v>M</v>
      </c>
      <c r="E29" s="5" t="str">
        <f>IFERROR(__xludf.DUMMYFUNCTION("SWITCH(REGEXEXTRACT(A29,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REGEXEXTRACT(A29, "&amp;"""-[SML23](.*)""))"),"Bleu Klein")</f>
        <v>Bleu Klein</v>
      </c>
      <c r="M29" s="6" t="s">
        <v>157</v>
      </c>
      <c r="N29" s="12" t="s">
        <v>158</v>
      </c>
      <c r="O29" s="11"/>
      <c r="P29" s="11" t="str">
        <f>IFERROR(__xludf.DUMMYFUNCTION("SWITCH(REGEXEXTRACT(M29, ""-(.)""), ""S"", ""S"", ""M"", ""M"", ""L"", ""L"", ""2"", ""Lot de 2 (à préciser SM ou SL)"", ""3"", ""Lot de 3"", ""Taille non reconnue"")"),"Lot de 2 (à préciser SM ou SL)")</f>
        <v>Lot de 2 (à préciser SM ou SL)</v>
      </c>
      <c r="Q29" s="11" t="str">
        <f>IFERROR(__xludf.DUMMYFUNCTION("SWITCH(REGEXEXTRACT(M29,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REGEXEXTRACT(M29, "&amp;"""-[SML23](.*)""))"),"Sapin")</f>
        <v>Sapin</v>
      </c>
      <c r="X29" s="6" t="s">
        <v>159</v>
      </c>
      <c r="AA29" s="5" t="str">
        <f>IFERROR(__xludf.DUMMYFUNCTION("SWITCH(REGEXEXTRACT(X29, ""-(.)""), ""S"", ""S"", ""M"", ""M"", ""L"", ""L"", ""2"", ""Lot de 2 (à préciser SM ou SL)"", ""3"", ""Lot de 3"", ""Taille non reconnue"")"),"S")</f>
        <v>S</v>
      </c>
    </row>
    <row r="30" ht="22.5" customHeight="1">
      <c r="A30" s="3" t="s">
        <v>160</v>
      </c>
      <c r="B30" s="4" t="s">
        <v>29</v>
      </c>
      <c r="D30" s="5" t="str">
        <f>IFERROR(__xludf.DUMMYFUNCTION("SWITCH(REGEXEXTRACT(A30, ""-(.)""), ""S"", ""S"", ""M"", ""M"", ""L"", ""L"", ""2"", ""Lot de 2 (à préciser SM ou SL)"", ""3"", ""Lot de 3"", ""Taille non reconnue"")"),"M")</f>
        <v>M</v>
      </c>
      <c r="E30" s="5" t="str">
        <f>IFERROR(__xludf.DUMMYFUNCTION("SWITCH(REGEXEXTRACT(A30,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REGEXEXTRACT(A30, "&amp;"""-[SML23](.*)""))"),"Champagne")</f>
        <v>Champagne</v>
      </c>
      <c r="M30" s="6" t="s">
        <v>161</v>
      </c>
      <c r="N30" s="12" t="s">
        <v>161</v>
      </c>
      <c r="O30" s="11"/>
      <c r="P30" s="11" t="str">
        <f>IFERROR(__xludf.DUMMYFUNCTION("SWITCH(REGEXEXTRACT(M30, ""-(.)""), ""S"", ""S"", ""M"", ""M"", ""L"", ""L"", ""2"", ""Lot de 2 (à préciser SM ou SL)"", ""3"", ""Lot de 3"", ""Taille non reconnue"")"),"Lot de 2 (à préciser SM ou SL)")</f>
        <v>Lot de 2 (à préciser SM ou SL)</v>
      </c>
      <c r="Q30" s="11" t="str">
        <f>IFERROR(__xludf.DUMMYFUNCTION("SWITCH(REGEXEXTRACT(M30,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REGEXEXTRACT(M30, "&amp;"""-[SML23](.*)""))"),"Argent")</f>
        <v>Argent</v>
      </c>
      <c r="X30" s="6" t="s">
        <v>162</v>
      </c>
      <c r="AA30" s="5" t="str">
        <f>IFERROR(__xludf.DUMMYFUNCTION("SWITCH(REGEXEXTRACT(X30, ""-(.)""), ""S"", ""S"", ""M"", ""M"", ""L"", ""L"", ""2"", ""Lot de 2 (à préciser SM ou SL)"", ""3"", ""Lot de 3"", ""Taille non reconnue"")"),"S")</f>
        <v>S</v>
      </c>
    </row>
    <row r="31" ht="22.5" customHeight="1">
      <c r="A31" s="3" t="s">
        <v>163</v>
      </c>
      <c r="B31" s="4" t="s">
        <v>37</v>
      </c>
      <c r="D31" s="5" t="str">
        <f>IFERROR(__xludf.DUMMYFUNCTION("SWITCH(REGEXEXTRACT(A31, ""-(.)""), ""S"", ""S"", ""M"", ""M"", ""L"", ""L"", ""2"", ""Lot de 2 (à préciser SM ou SL)"", ""3"", ""Lot de 3"", ""Taille non reconnue"")"),"M")</f>
        <v>M</v>
      </c>
      <c r="E31" s="5" t="str">
        <f>IFERROR(__xludf.DUMMYFUNCTION("SWITCH(REGEXEXTRACT(A31,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REGEXEXTRACT(A31, "&amp;"""-[SML23](.*)""))"),"Orange")</f>
        <v>Orange</v>
      </c>
      <c r="M31" s="6" t="s">
        <v>164</v>
      </c>
      <c r="N31" s="10" t="s">
        <v>17</v>
      </c>
      <c r="O31" s="11"/>
      <c r="P31" s="11" t="str">
        <f>IFERROR(__xludf.DUMMYFUNCTION("SWITCH(REGEXEXTRACT(M31, ""-(.)""), ""S"", ""S"", ""M"", ""M"", ""L"", ""L"", ""2"", ""Lot de 2 (à préciser SM ou SL)"", ""3"", ""Lot de 3"", ""Taille non reconnue"")"),"Lot de 3")</f>
        <v>Lot de 3</v>
      </c>
      <c r="Q31" s="11" t="str">
        <f>IFERROR(__xludf.DUMMYFUNCTION("SWITCH(REGEXEXTRACT(M31,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REGEXEXTRACT(M31, "&amp;"""-[SML23](.*)""))"),"Dark red")</f>
        <v>Dark red</v>
      </c>
      <c r="X31" s="6" t="s">
        <v>165</v>
      </c>
      <c r="AA31" s="5" t="str">
        <f>IFERROR(__xludf.DUMMYFUNCTION("SWITCH(REGEXEXTRACT(X31, ""-(.)""), ""S"", ""S"", ""M"", ""M"", ""L"", ""L"", ""2"", ""Lot de 2 (à préciser SM ou SL)"", ""3"", ""Lot de 3"", ""Taille non reconnue"")"),"S")</f>
        <v>S</v>
      </c>
    </row>
    <row r="32" ht="22.5" customHeight="1">
      <c r="A32" s="3" t="s">
        <v>166</v>
      </c>
      <c r="B32" s="4" t="s">
        <v>44</v>
      </c>
      <c r="D32" s="5" t="str">
        <f>IFERROR(__xludf.DUMMYFUNCTION("SWITCH(REGEXEXTRACT(A32, ""-(.)""), ""S"", ""S"", ""M"", ""M"", ""L"", ""L"", ""2"", ""Lot de 2 (à préciser SM ou SL)"", ""3"", ""Lot de 3"", ""Taille non reconnue"")"),"M")</f>
        <v>M</v>
      </c>
      <c r="E32" s="5" t="str">
        <f>IFERROR(__xludf.DUMMYFUNCTION("SWITCH(REGEXEXTRACT(A32,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REGEXEXTRACT(A32, "&amp;"""-[SML23](.*)""))"),"Dark yellow")</f>
        <v>Dark yellow</v>
      </c>
      <c r="M32" s="6" t="s">
        <v>167</v>
      </c>
      <c r="N32" s="10" t="s">
        <v>17</v>
      </c>
      <c r="O32" s="11"/>
      <c r="P32" s="11" t="str">
        <f>IFERROR(__xludf.DUMMYFUNCTION("SWITCH(REGEXEXTRACT(M32, ""-(.)""), ""S"", ""S"", ""M"", ""M"", ""L"", ""L"", ""2"", ""Lot de 2 (à préciser SM ou SL)"", ""3"", ""Lot de 3"", ""Taille non reconnue"")"),"Lot de 3")</f>
        <v>Lot de 3</v>
      </c>
      <c r="Q32" s="11" t="str">
        <f>IFERROR(__xludf.DUMMYFUNCTION("SWITCH(REGEXEXTRACT(M32,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REGEXEXTRACT(M32, "&amp;"""-[SML23](.*)""))"),"NUD")</f>
        <v>NUD</v>
      </c>
      <c r="X32" s="6" t="s">
        <v>168</v>
      </c>
      <c r="AA32" s="5" t="str">
        <f>IFERROR(__xludf.DUMMYFUNCTION("SWITCH(REGEXEXTRACT(X32, ""-(.)""), ""S"", ""S"", ""M"", ""M"", ""L"", ""L"", ""2"", ""Lot de 2 (à préciser SM ou SL)"", ""3"", ""Lot de 3"", ""Taille non reconnue"")"),"S")</f>
        <v>S</v>
      </c>
    </row>
    <row r="33" ht="22.5" customHeight="1">
      <c r="A33" s="3" t="s">
        <v>169</v>
      </c>
      <c r="B33" s="4" t="s">
        <v>44</v>
      </c>
      <c r="D33" s="5" t="str">
        <f>IFERROR(__xludf.DUMMYFUNCTION("SWITCH(REGEXEXTRACT(A33, ""-(.)""), ""S"", ""S"", ""M"", ""M"", ""L"", ""L"", ""2"", ""Lot de 2 (à préciser SM ou SL)"", ""3"", ""Lot de 3"", ""Taille non reconnue"")"),"M")</f>
        <v>M</v>
      </c>
      <c r="E33" s="5" t="str">
        <f>IFERROR(__xludf.DUMMYFUNCTION("SWITCH(REGEXEXTRACT(A33,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REGEXEXTRACT(A33, "&amp;"""-[SML23](.*)""))"),"Dark yellow")</f>
        <v>Dark yellow</v>
      </c>
      <c r="M33" s="6" t="s">
        <v>170</v>
      </c>
      <c r="N33" s="10" t="s">
        <v>17</v>
      </c>
      <c r="O33" s="11"/>
      <c r="P33" s="11" t="str">
        <f>IFERROR(__xludf.DUMMYFUNCTION("SWITCH(REGEXEXTRACT(M33, ""-(.)""), ""S"", ""S"", ""M"", ""M"", ""L"", ""L"", ""2"", ""Lot de 2 (à préciser SM ou SL)"", ""3"", ""Lot de 3"", ""Taille non reconnue"")"),"Lot de 3")</f>
        <v>Lot de 3</v>
      </c>
      <c r="Q33" s="11" t="str">
        <f>IFERROR(__xludf.DUMMYFUNCTION("SWITCH(REGEXEXTRACT(M33,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REGEXEXTRACT(M33, "&amp;"""-[SML23](.*)""))"),"ORP")</f>
        <v>ORP</v>
      </c>
      <c r="X33" s="6" t="s">
        <v>171</v>
      </c>
      <c r="AA33" s="5" t="str">
        <f>IFERROR(__xludf.DUMMYFUNCTION("SWITCH(REGEXEXTRACT(X33, ""-(.)""), ""S"", ""S"", ""M"", ""M"", ""L"", ""L"", ""2"", ""Lot de 2 (à préciser SM ou SL)"", ""3"", ""Lot de 3"", ""Taille non reconnue"")"),"S")</f>
        <v>S</v>
      </c>
    </row>
    <row r="34" ht="22.5" customHeight="1">
      <c r="A34" s="3" t="s">
        <v>172</v>
      </c>
      <c r="B34" s="4" t="s">
        <v>50</v>
      </c>
      <c r="D34" s="5" t="str">
        <f>IFERROR(__xludf.DUMMYFUNCTION("SWITCH(REGEXEXTRACT(A34, ""-(.)""), ""S"", ""S"", ""M"", ""M"", ""L"", ""L"", ""2"", ""Lot de 2 (à préciser SM ou SL)"", ""3"", ""Lot de 3"", ""Taille non reconnue"")"),"M")</f>
        <v>M</v>
      </c>
      <c r="E34" s="5" t="str">
        <f>IFERROR(__xludf.DUMMYFUNCTION("SWITCH(REGEXEXTRACT(A34,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REGEXEXTRACT(A34, "&amp;"""-[SML23](.*)""))"),"Fuschia")</f>
        <v>Fuschia</v>
      </c>
      <c r="M34" s="6" t="s">
        <v>173</v>
      </c>
      <c r="N34" s="10" t="s">
        <v>17</v>
      </c>
      <c r="O34" s="11"/>
      <c r="P34" s="11" t="str">
        <f>IFERROR(__xludf.DUMMYFUNCTION("SWITCH(REGEXEXTRACT(M34, ""-(.)""), ""S"", ""S"", ""M"", ""M"", ""L"", ""L"", ""2"", ""Lot de 2 (à préciser SM ou SL)"", ""3"", ""Lot de 3"", ""Taille non reconnue"")"),"Lot de 3")</f>
        <v>Lot de 3</v>
      </c>
      <c r="Q34" s="11" t="str">
        <f>IFERROR(__xludf.DUMMYFUNCTION("SWITCH(REGEXEXTRACT(M34,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REGEXEXTRACT(M34, "&amp;"""-[SML23](.*)""))"),"Marine")</f>
        <v>Marine</v>
      </c>
      <c r="X34" s="6" t="s">
        <v>174</v>
      </c>
      <c r="AA34" s="5" t="str">
        <f>IFERROR(__xludf.DUMMYFUNCTION("SWITCH(REGEXEXTRACT(X34, ""-(.)""), ""S"", ""S"", ""M"", ""M"", ""L"", ""L"", ""2"", ""Lot de 2 (à préciser SM ou SL)"", ""3"", ""Lot de 3"", ""Taille non reconnue"")"),"S")</f>
        <v>S</v>
      </c>
    </row>
    <row r="35" ht="22.5" customHeight="1">
      <c r="A35" s="3" t="s">
        <v>175</v>
      </c>
      <c r="B35" s="4" t="s">
        <v>176</v>
      </c>
      <c r="D35" s="5" t="str">
        <f>IFERROR(__xludf.DUMMYFUNCTION("SWITCH(REGEXEXTRACT(A35, ""-(.)""), ""S"", ""S"", ""M"", ""M"", ""L"", ""L"", ""2"", ""Lot de 2 (à préciser SM ou SL)"", ""3"", ""Lot de 3"", ""Taille non reconnue"")"),"M")</f>
        <v>M</v>
      </c>
      <c r="E35" s="5" t="str">
        <f>IFERROR(__xludf.DUMMYFUNCTION("SWITCH(REGEXEXTRACT(A35,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REGEXEXTRACT(A35, "&amp;"""-[SML23](.*)""))"),"Menthe")</f>
        <v>Menthe</v>
      </c>
      <c r="N35" s="11"/>
      <c r="O35" s="11"/>
      <c r="P35" s="11"/>
      <c r="Q35" s="11"/>
      <c r="X35" s="6" t="s">
        <v>177</v>
      </c>
      <c r="AA35" s="5" t="str">
        <f>IFERROR(__xludf.DUMMYFUNCTION("SWITCH(REGEXEXTRACT(X35, ""-(.)""), ""S"", ""S"", ""M"", ""M"", ""L"", ""L"", ""2"", ""Lot de 2 (à préciser SM ou SL)"", ""3"", ""Lot de 3"", ""Taille non reconnue"")"),"S")</f>
        <v>S</v>
      </c>
    </row>
    <row r="36" ht="22.5" customHeight="1">
      <c r="A36" s="3" t="s">
        <v>178</v>
      </c>
      <c r="B36" s="4" t="s">
        <v>56</v>
      </c>
      <c r="D36" s="5" t="str">
        <f>IFERROR(__xludf.DUMMYFUNCTION("SWITCH(REGEXEXTRACT(A36, ""-(.)""), ""S"", ""S"", ""M"", ""M"", ""L"", ""L"", ""2"", ""Lot de 2 (à préciser SM ou SL)"", ""3"", ""Lot de 3"", ""Taille non reconnue"")"),"M")</f>
        <v>M</v>
      </c>
      <c r="E36" s="5" t="str">
        <f>IFERROR(__xludf.DUMMYFUNCTION("SWITCH(REGEXEXTRACT(A36,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REGEXEXTRACT(A36, "&amp;"""-[SML23](.*)""))"),"Marine")</f>
        <v>Marine</v>
      </c>
      <c r="X36" s="6" t="s">
        <v>179</v>
      </c>
      <c r="AA36" s="5" t="str">
        <f>IFERROR(__xludf.DUMMYFUNCTION("SWITCH(REGEXEXTRACT(X36, ""-(.)""), ""S"", ""S"", ""M"", ""M"", ""L"", ""L"", ""2"", ""Lot de 2 (à préciser SM ou SL)"", ""3"", ""Lot de 3"", ""Taille non reconnue"")"),"Lot de 2 (à préciser SM ou SL)")</f>
        <v>Lot de 2 (à préciser SM ou SL)</v>
      </c>
    </row>
    <row r="37" ht="22.5" customHeight="1">
      <c r="A37" s="3" t="s">
        <v>180</v>
      </c>
      <c r="B37" s="4" t="s">
        <v>37</v>
      </c>
      <c r="D37" s="5" t="str">
        <f>IFERROR(__xludf.DUMMYFUNCTION("SWITCH(REGEXEXTRACT(A37, ""-(.)""), ""S"", ""S"", ""M"", ""M"", ""L"", ""L"", ""2"", ""Lot de 2 (à préciser SM ou SL)"", ""3"", ""Lot de 3"", ""Taille non reconnue"")"),"M")</f>
        <v>M</v>
      </c>
      <c r="E37" s="5" t="str">
        <f>IFERROR(__xludf.DUMMYFUNCTION("SWITCH(REGEXEXTRACT(A37,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REGEXEXTRACT(A37, "&amp;"""-[SML23](.*)""))"),"Orange")</f>
        <v>Orange</v>
      </c>
      <c r="X37" s="6" t="s">
        <v>181</v>
      </c>
      <c r="AA37" s="5" t="str">
        <f>IFERROR(__xludf.DUMMYFUNCTION("SWITCH(REGEXEXTRACT(X37, ""-(.)""), ""S"", ""S"", ""M"", ""M"", ""L"", ""L"", ""2"", ""Lot de 2 (à préciser SM ou SL)"", ""3"", ""Lot de 3"", ""Taille non reconnue"")"),"Lot de 2 (à préciser SM ou SL)")</f>
        <v>Lot de 2 (à préciser SM ou SL)</v>
      </c>
    </row>
    <row r="38" ht="22.5" customHeight="1">
      <c r="A38" s="3" t="s">
        <v>182</v>
      </c>
      <c r="B38" s="4" t="s">
        <v>69</v>
      </c>
      <c r="D38" s="5" t="str">
        <f>IFERROR(__xludf.DUMMYFUNCTION("SWITCH(REGEXEXTRACT(A38, ""-(.)""), ""S"", ""S"", ""M"", ""M"", ""L"", ""L"", ""2"", ""Lot de 2 (à préciser SM ou SL)"", ""3"", ""Lot de 3"", ""Taille non reconnue"")"),"M")</f>
        <v>M</v>
      </c>
      <c r="E38" s="5" t="str">
        <f>IFERROR(__xludf.DUMMYFUNCTION("SWITCH(REGEXEXTRACT(A38,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REGEXEXTRACT(A38, "&amp;"""-[SML23](.*)""))"),"Rouge")</f>
        <v>Rouge</v>
      </c>
      <c r="X38" s="6" t="s">
        <v>183</v>
      </c>
      <c r="AA38" s="5" t="str">
        <f>IFERROR(__xludf.DUMMYFUNCTION("SWITCH(REGEXEXTRACT(X38, ""-(.)""), ""S"", ""S"", ""M"", ""M"", ""L"", ""L"", ""2"", ""Lot de 2 (à préciser SM ou SL)"", ""3"", ""Lot de 3"", ""Taille non reconnue"")"),"Lot de 2 (à préciser SM ou SL)")</f>
        <v>Lot de 2 (à préciser SM ou SL)</v>
      </c>
    </row>
    <row r="39" ht="22.5" customHeight="1">
      <c r="A39" s="3" t="s">
        <v>184</v>
      </c>
      <c r="B39" s="4" t="s">
        <v>69</v>
      </c>
      <c r="D39" s="5" t="str">
        <f>IFERROR(__xludf.DUMMYFUNCTION("SWITCH(REGEXEXTRACT(A39, ""-(.)""), ""S"", ""S"", ""M"", ""M"", ""L"", ""L"", ""2"", ""Lot de 2 (à préciser SM ou SL)"", ""3"", ""Lot de 3"", ""Taille non reconnue"")"),"M")</f>
        <v>M</v>
      </c>
      <c r="E39" s="5" t="str">
        <f>IFERROR(__xludf.DUMMYFUNCTION("SWITCH(REGEXEXTRACT(A39,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REGEXEXTRACT(A39, "&amp;"""-[SML23](.*)""))"),"Rouge patou")</f>
        <v>Rouge patou</v>
      </c>
      <c r="X39" s="6" t="s">
        <v>185</v>
      </c>
      <c r="AA39" s="5" t="str">
        <f>IFERROR(__xludf.DUMMYFUNCTION("SWITCH(REGEXEXTRACT(X39, ""-(.)""), ""S"", ""S"", ""M"", ""M"", ""L"", ""L"", ""2"", ""Lot de 2 (à préciser SM ou SL)"", ""3"", ""Lot de 3"", ""Taille non reconnue"")"),"Lot de 3")</f>
        <v>Lot de 3</v>
      </c>
    </row>
    <row r="40" ht="22.5" customHeight="1">
      <c r="A40" s="3" t="s">
        <v>186</v>
      </c>
      <c r="B40" s="4" t="s">
        <v>74</v>
      </c>
      <c r="D40" s="5" t="str">
        <f>IFERROR(__xludf.DUMMYFUNCTION("SWITCH(REGEXEXTRACT(A40, ""-(.)""), ""S"", ""S"", ""M"", ""M"", ""L"", ""L"", ""2"", ""Lot de 2 (à préciser SM ou SL)"", ""3"", ""Lot de 3"", ""Taille non reconnue"")"),"M")</f>
        <v>M</v>
      </c>
      <c r="E40" s="5" t="str">
        <f>IFERROR(__xludf.DUMMYFUNCTION("SWITCH(REGEXEXTRACT(A40,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REGEXEXTRACT(A40, "&amp;"""-[SML23](.*)""))"),"Sapin")</f>
        <v>Sapin</v>
      </c>
      <c r="X40" s="6" t="s">
        <v>187</v>
      </c>
      <c r="AA40" s="5" t="str">
        <f>IFERROR(__xludf.DUMMYFUNCTION("SWITCH(REGEXEXTRACT(X40, ""-(.)""), ""S"", ""S"", ""M"", ""M"", ""L"", ""L"", ""2"", ""Lot de 2 (à préciser SM ou SL)"", ""3"", ""Lot de 3"", ""Taille non reconnue"")"),"Lot de 3")</f>
        <v>Lot de 3</v>
      </c>
    </row>
    <row r="41" ht="22.5" customHeight="1">
      <c r="A41" s="3" t="s">
        <v>188</v>
      </c>
      <c r="B41" s="4" t="s">
        <v>80</v>
      </c>
      <c r="D41" s="5" t="str">
        <f>IFERROR(__xludf.DUMMYFUNCTION("SWITCH(REGEXEXTRACT(A41, ""-(.)""), ""S"", ""S"", ""M"", ""M"", ""L"", ""L"", ""2"", ""Lot de 2 (à préciser SM ou SL)"", ""3"", ""Lot de 3"", ""Taille non reconnue"")"),"M")</f>
        <v>M</v>
      </c>
      <c r="E41" s="5" t="str">
        <f>IFERROR(__xludf.DUMMYFUNCTION("SWITCH(REGEXEXTRACT(A41,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REGEXEXTRACT(A41, "&amp;"""-[SML23](.*)""))"),"Argent")</f>
        <v>Argent</v>
      </c>
      <c r="X41" s="6" t="s">
        <v>189</v>
      </c>
      <c r="AA41" s="5" t="str">
        <f>IFERROR(__xludf.DUMMYFUNCTION("SWITCH(REGEXEXTRACT(X41, ""-(.)""), ""S"", ""S"", ""M"", ""M"", ""L"", ""L"", ""2"", ""Lot de 2 (à préciser SM ou SL)"", ""3"", ""Lot de 3"", ""Taille non reconnue"")"),"Lot de 3")</f>
        <v>Lot de 3</v>
      </c>
    </row>
    <row r="42" ht="22.5" customHeight="1">
      <c r="A42" s="3" t="s">
        <v>190</v>
      </c>
      <c r="B42" s="4" t="s">
        <v>83</v>
      </c>
      <c r="D42" s="5" t="str">
        <f>IFERROR(__xludf.DUMMYFUNCTION("SWITCH(REGEXEXTRACT(A42, ""-(.)""), ""S"", ""S"", ""M"", ""M"", ""L"", ""L"", ""2"", ""Lot de 2 (à préciser SM ou SL)"", ""3"", ""Lot de 3"", ""Taille non reconnue"")"),"M")</f>
        <v>M</v>
      </c>
      <c r="E42" s="5" t="str">
        <f>IFERROR(__xludf.DUMMYFUNCTION("SWITCH(REGEXEXTRACT(A42,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REGEXEXTRACT(A42, "&amp;"""-[SML23](.*)""))"),"Vert d'eau")</f>
        <v>Vert d'eau</v>
      </c>
      <c r="X42" s="6" t="s">
        <v>191</v>
      </c>
      <c r="AA42" s="5" t="str">
        <f>IFERROR(__xludf.DUMMYFUNCTION("SWITCH(REGEXEXTRACT(X42, ""-(.)""), ""S"", ""S"", ""M"", ""M"", ""L"", ""L"", ""2"", ""Lot de 2 (à préciser SM ou SL)"", ""3"", ""Lot de 3"", ""Taille non reconnue"")"),"Lot de 3")</f>
        <v>Lot de 3</v>
      </c>
    </row>
    <row r="43" ht="22.5" customHeight="1">
      <c r="A43" s="3" t="s">
        <v>192</v>
      </c>
      <c r="B43" s="4" t="s">
        <v>193</v>
      </c>
      <c r="D43" s="5" t="str">
        <f>IFERROR(__xludf.DUMMYFUNCTION("SWITCH(REGEXEXTRACT(A43, ""-(.)""), ""S"", ""S"", ""M"", ""M"", ""L"", ""L"", ""2"", ""Lot de 2 (à préciser SM ou SL)"", ""3"", ""Lot de 3"", ""Taille non reconnue"")"),"M")</f>
        <v>M</v>
      </c>
      <c r="E43" s="5" t="str">
        <f>IFERROR(__xludf.DUMMYFUNCTION("SWITCH(REGEXEXTRACT(A43,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REGEXEXTRACT(A43, "&amp;"""-[SML23](.*)""))"),"Blanc")</f>
        <v>Blanc</v>
      </c>
      <c r="X43" s="6" t="s">
        <v>194</v>
      </c>
      <c r="AA43" s="5" t="str">
        <f>IFERROR(__xludf.DUMMYFUNCTION("SWITCH(REGEXEXTRACT(X43, ""-(.)""), ""S"", ""S"", ""M"", ""M"", ""L"", ""L"", ""2"", ""Lot de 2 (à préciser SM ou SL)"", ""3"", ""Lot de 3"", ""Taille non reconnue"")"),"Lot de 3")</f>
        <v>Lot de 3</v>
      </c>
    </row>
    <row r="44" ht="22.5" customHeight="1">
      <c r="A44" s="3" t="s">
        <v>195</v>
      </c>
      <c r="B44" s="4" t="s">
        <v>21</v>
      </c>
      <c r="D44" s="5" t="str">
        <f>IFERROR(__xludf.DUMMYFUNCTION("SWITCH(REGEXEXTRACT(A44, ""-(.)""), ""S"", ""S"", ""M"", ""M"", ""L"", ""L"", ""2"", ""Lot de 2 (à préciser SM ou SL)"", ""3"", ""Lot de 3"", ""Taille non reconnue"")"),"S")</f>
        <v>S</v>
      </c>
      <c r="E44" s="5" t="str">
        <f>IFERROR(__xludf.DUMMYFUNCTION("SWITCH(REGEXEXTRACT(A44,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REGEXEXTRACT(A44, "&amp;"""-[SML23](.*)""))"),"Bleu")</f>
        <v>Bleu</v>
      </c>
      <c r="X44" s="6" t="s">
        <v>196</v>
      </c>
      <c r="AA44" s="5" t="str">
        <f>IFERROR(__xludf.DUMMYFUNCTION("SWITCH(REGEXEXTRACT(X44, ""-(.)""), ""S"", ""S"", ""M"", ""M"", ""L"", ""L"", ""2"", ""Lot de 2 (à préciser SM ou SL)"", ""3"", ""Lot de 3"", ""Taille non reconnue"")"),"Lot de 3")</f>
        <v>Lot de 3</v>
      </c>
    </row>
    <row r="45" ht="22.5" customHeight="1">
      <c r="A45" s="3" t="s">
        <v>197</v>
      </c>
      <c r="B45" s="4" t="s">
        <v>21</v>
      </c>
      <c r="D45" s="5" t="str">
        <f>IFERROR(__xludf.DUMMYFUNCTION("SWITCH(REGEXEXTRACT(A45, ""-(.)""), ""S"", ""S"", ""M"", ""M"", ""L"", ""L"", ""2"", ""Lot de 2 (à préciser SM ou SL)"", ""3"", ""Lot de 3"", ""Taille non reconnue"")"),"S")</f>
        <v>S</v>
      </c>
      <c r="E45" s="5" t="str">
        <f>IFERROR(__xludf.DUMMYFUNCTION("SWITCH(REGEXEXTRACT(A45,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REGEXEXTRACT(A45, "&amp;"""-[SML23](.*)""))"),"Bleu")</f>
        <v>Bleu</v>
      </c>
      <c r="X45" s="6" t="s">
        <v>198</v>
      </c>
      <c r="AA45" s="5" t="str">
        <f>IFERROR(__xludf.DUMMYFUNCTION("SWITCH(REGEXEXTRACT(X45, ""-(.)""), ""S"", ""S"", ""M"", ""M"", ""L"", ""L"", ""2"", ""Lot de 2 (à préciser SM ou SL)"", ""3"", ""Lot de 3"", ""Taille non reconnue"")"),"Lot de 3")</f>
        <v>Lot de 3</v>
      </c>
    </row>
    <row r="46" ht="22.5" customHeight="1">
      <c r="A46" s="3" t="s">
        <v>199</v>
      </c>
      <c r="B46" s="4" t="s">
        <v>13</v>
      </c>
      <c r="D46" s="5" t="str">
        <f>IFERROR(__xludf.DUMMYFUNCTION("SWITCH(REGEXEXTRACT(A46, ""-(.)""), ""S"", ""S"", ""M"", ""M"", ""L"", ""L"", ""2"", ""Lot de 2 (à préciser SM ou SL)"", ""3"", ""Lot de 3"", ""Taille non reconnue"")"),"S")</f>
        <v>S</v>
      </c>
      <c r="E46" s="5" t="str">
        <f>IFERROR(__xludf.DUMMYFUNCTION("SWITCH(REGEXEXTRACT(A46,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REGEXEXTRACT(A46, "&amp;"""-[SML23](.*)""))"),"Noir")</f>
        <v>Noir</v>
      </c>
      <c r="X46" s="6" t="s">
        <v>200</v>
      </c>
      <c r="AA46" s="5" t="str">
        <f>IFERROR(__xludf.DUMMYFUNCTION("SWITCH(REGEXEXTRACT(X46, ""-(.)""), ""S"", ""S"", ""M"", ""M"", ""L"", ""L"", ""2"", ""Lot de 2 (à préciser SM ou SL)"", ""3"", ""Lot de 3"", ""Taille non reconnue"")"),"L")</f>
        <v>L</v>
      </c>
    </row>
    <row r="47" ht="22.5" customHeight="1">
      <c r="A47" s="3" t="s">
        <v>201</v>
      </c>
      <c r="B47" s="4" t="s">
        <v>21</v>
      </c>
      <c r="D47" s="5" t="str">
        <f>IFERROR(__xludf.DUMMYFUNCTION("SWITCH(REGEXEXTRACT(A47, ""-(.)""), ""S"", ""S"", ""M"", ""M"", ""L"", ""L"", ""2"", ""Lot de 2 (à préciser SM ou SL)"", ""3"", ""Lot de 3"", ""Taille non reconnue"")"),"S")</f>
        <v>S</v>
      </c>
      <c r="E47" s="5" t="str">
        <f>IFERROR(__xludf.DUMMYFUNCTION("SWITCH(REGEXEXTRACT(A47,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REGEXEXTRACT(A47, "&amp;"""-[SML23](.*)""))"),"Bleu Klein")</f>
        <v>Bleu Klein</v>
      </c>
      <c r="X47" s="6" t="s">
        <v>202</v>
      </c>
      <c r="AA47" s="5" t="str">
        <f>IFERROR(__xludf.DUMMYFUNCTION("SWITCH(REGEXEXTRACT(X47, ""-(.)""), ""S"", ""S"", ""M"", ""M"", ""L"", ""L"", ""2"", ""Lot de 2 (à préciser SM ou SL)"", ""3"", ""Lot de 3"", ""Taille non reconnue"")"),"L")</f>
        <v>L</v>
      </c>
    </row>
    <row r="48" ht="22.5" customHeight="1">
      <c r="A48" s="3" t="s">
        <v>203</v>
      </c>
      <c r="B48" s="4" t="s">
        <v>29</v>
      </c>
      <c r="D48" s="5" t="str">
        <f>IFERROR(__xludf.DUMMYFUNCTION("SWITCH(REGEXEXTRACT(A48, ""-(.)""), ""S"", ""S"", ""M"", ""M"", ""L"", ""L"", ""2"", ""Lot de 2 (à préciser SM ou SL)"", ""3"", ""Lot de 3"", ""Taille non reconnue"")"),"S")</f>
        <v>S</v>
      </c>
      <c r="E48" s="5" t="str">
        <f>IFERROR(__xludf.DUMMYFUNCTION("SWITCH(REGEXEXTRACT(A48,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REGEXEXTRACT(A48, "&amp;"""-[SML23](.*)""))"),"Champagne")</f>
        <v>Champagne</v>
      </c>
      <c r="X48" s="6" t="s">
        <v>204</v>
      </c>
      <c r="AA48" s="5" t="str">
        <f>IFERROR(__xludf.DUMMYFUNCTION("SWITCH(REGEXEXTRACT(X48, ""-(.)""), ""S"", ""S"", ""M"", ""M"", ""L"", ""L"", ""2"", ""Lot de 2 (à préciser SM ou SL)"", ""3"", ""Lot de 3"", ""Taille non reconnue"")"),"L")</f>
        <v>L</v>
      </c>
    </row>
    <row r="49" ht="22.5" customHeight="1">
      <c r="A49" s="3" t="s">
        <v>205</v>
      </c>
      <c r="B49" s="4" t="s">
        <v>37</v>
      </c>
      <c r="D49" s="5" t="str">
        <f>IFERROR(__xludf.DUMMYFUNCTION("SWITCH(REGEXEXTRACT(A49, ""-(.)""), ""S"", ""S"", ""M"", ""M"", ""L"", ""L"", ""2"", ""Lot de 2 (à préciser SM ou SL)"", ""3"", ""Lot de 3"", ""Taille non reconnue"")"),"S")</f>
        <v>S</v>
      </c>
      <c r="E49" s="5" t="str">
        <f>IFERROR(__xludf.DUMMYFUNCTION("SWITCH(REGEXEXTRACT(A49,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REGEXEXTRACT(A49, "&amp;"""-[SML23](.*)""))"),"Orange")</f>
        <v>Orange</v>
      </c>
      <c r="X49" s="6" t="s">
        <v>206</v>
      </c>
      <c r="AA49" s="5" t="str">
        <f>IFERROR(__xludf.DUMMYFUNCTION("SWITCH(REGEXEXTRACT(X49, ""-(.)""), ""S"", ""S"", ""M"", ""M"", ""L"", ""L"", ""2"", ""Lot de 2 (à préciser SM ou SL)"", ""3"", ""Lot de 3"", ""Taille non reconnue"")"),"M")</f>
        <v>M</v>
      </c>
    </row>
    <row r="50" ht="22.5" customHeight="1">
      <c r="A50" s="3" t="s">
        <v>207</v>
      </c>
      <c r="B50" s="4" t="s">
        <v>208</v>
      </c>
      <c r="D50" s="5" t="str">
        <f>IFERROR(__xludf.DUMMYFUNCTION("SWITCH(REGEXEXTRACT(A50, ""-(.)""), ""S"", ""S"", ""M"", ""M"", ""L"", ""L"", ""2"", ""Lot de 2 (à préciser SM ou SL)"", ""3"", ""Lot de 3"", ""Taille non reconnue"")"),"S")</f>
        <v>S</v>
      </c>
      <c r="E50" s="5" t="str">
        <f>IFERROR(__xludf.DUMMYFUNCTION("SWITCH(REGEXEXTRACT(A50,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REGEXEXTRACT(A50, "&amp;"""-[SML23](.*)""))"),"Dark red")</f>
        <v>Dark red</v>
      </c>
      <c r="X50" s="6" t="s">
        <v>209</v>
      </c>
      <c r="AA50" s="5" t="str">
        <f>IFERROR(__xludf.DUMMYFUNCTION("SWITCH(REGEXEXTRACT(X50, ""-(.)""), ""S"", ""S"", ""M"", ""M"", ""L"", ""L"", ""2"", ""Lot de 2 (à préciser SM ou SL)"", ""3"", ""Lot de 3"", ""Taille non reconnue"")"),"M")</f>
        <v>M</v>
      </c>
    </row>
    <row r="51" ht="22.5" customHeight="1">
      <c r="A51" s="3" t="s">
        <v>210</v>
      </c>
      <c r="B51" s="4" t="s">
        <v>44</v>
      </c>
      <c r="D51" s="5" t="str">
        <f>IFERROR(__xludf.DUMMYFUNCTION("SWITCH(REGEXEXTRACT(A51, ""-(.)""), ""S"", ""S"", ""M"", ""M"", ""L"", ""L"", ""2"", ""Lot de 2 (à préciser SM ou SL)"", ""3"", ""Lot de 3"", ""Taille non reconnue"")"),"S")</f>
        <v>S</v>
      </c>
      <c r="E51" s="5" t="str">
        <f>IFERROR(__xludf.DUMMYFUNCTION("SWITCH(REGEXEXTRACT(A51,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REGEXEXTRACT(A51, "&amp;"""-[SML23](.*)""))"),"Dark yellow")</f>
        <v>Dark yellow</v>
      </c>
      <c r="X51" s="6" t="s">
        <v>211</v>
      </c>
      <c r="AA51" s="5" t="str">
        <f>IFERROR(__xludf.DUMMYFUNCTION("SWITCH(REGEXEXTRACT(X51, ""-(.)""), ""S"", ""S"", ""M"", ""M"", ""L"", ""L"", ""2"", ""Lot de 2 (à préciser SM ou SL)"", ""3"", ""Lot de 3"", ""Taille non reconnue"")"),"M")</f>
        <v>M</v>
      </c>
    </row>
    <row r="52" ht="22.5" customHeight="1">
      <c r="A52" s="3" t="s">
        <v>212</v>
      </c>
      <c r="B52" s="4" t="s">
        <v>50</v>
      </c>
      <c r="D52" s="5" t="str">
        <f>IFERROR(__xludf.DUMMYFUNCTION("SWITCH(REGEXEXTRACT(A52, ""-(.)""), ""S"", ""S"", ""M"", ""M"", ""L"", ""L"", ""2"", ""Lot de 2 (à préciser SM ou SL)"", ""3"", ""Lot de 3"", ""Taille non reconnue"")"),"S")</f>
        <v>S</v>
      </c>
      <c r="E52" s="5" t="str">
        <f>IFERROR(__xludf.DUMMYFUNCTION("SWITCH(REGEXEXTRACT(A52,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REGEXEXTRACT(A52, "&amp;"""-[SML23](.*)""))"),"Fuschia")</f>
        <v>Fuschia</v>
      </c>
      <c r="X52" s="6" t="s">
        <v>213</v>
      </c>
      <c r="AA52" s="5" t="str">
        <f>IFERROR(__xludf.DUMMYFUNCTION("SWITCH(REGEXEXTRACT(X52, ""-(.)""), ""S"", ""S"", ""M"", ""M"", ""L"", ""L"", ""2"", ""Lot de 2 (à préciser SM ou SL)"", ""3"", ""Lot de 3"", ""Taille non reconnue"")"),"M")</f>
        <v>M</v>
      </c>
    </row>
    <row r="53" ht="22.5" customHeight="1">
      <c r="A53" s="3" t="s">
        <v>214</v>
      </c>
      <c r="B53" s="4" t="s">
        <v>176</v>
      </c>
      <c r="D53" s="5" t="str">
        <f>IFERROR(__xludf.DUMMYFUNCTION("SWITCH(REGEXEXTRACT(A53, ""-(.)""), ""S"", ""S"", ""M"", ""M"", ""L"", ""L"", ""2"", ""Lot de 2 (à préciser SM ou SL)"", ""3"", ""Lot de 3"", ""Taille non reconnue"")"),"S")</f>
        <v>S</v>
      </c>
      <c r="E53" s="5" t="str">
        <f>IFERROR(__xludf.DUMMYFUNCTION("SWITCH(REGEXEXTRACT(A53,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REGEXEXTRACT(A53, "&amp;"""-[SML23](.*)""))"),"Menthe")</f>
        <v>Menthe</v>
      </c>
      <c r="X53" s="6" t="s">
        <v>215</v>
      </c>
      <c r="AA53" s="5" t="str">
        <f>IFERROR(__xludf.DUMMYFUNCTION("SWITCH(REGEXEXTRACT(X53, ""-(.)""), ""S"", ""S"", ""M"", ""M"", ""L"", ""L"", ""2"", ""Lot de 2 (à préciser SM ou SL)"", ""3"", ""Lot de 3"", ""Taille non reconnue"")"),"M")</f>
        <v>M</v>
      </c>
    </row>
    <row r="54" ht="22.5" customHeight="1">
      <c r="A54" s="3" t="s">
        <v>216</v>
      </c>
      <c r="B54" s="4" t="s">
        <v>56</v>
      </c>
      <c r="D54" s="5" t="str">
        <f>IFERROR(__xludf.DUMMYFUNCTION("SWITCH(REGEXEXTRACT(A54, ""-(.)""), ""S"", ""S"", ""M"", ""M"", ""L"", ""L"", ""2"", ""Lot de 2 (à préciser SM ou SL)"", ""3"", ""Lot de 3"", ""Taille non reconnue"")"),"S")</f>
        <v>S</v>
      </c>
      <c r="E54" s="5" t="str">
        <f>IFERROR(__xludf.DUMMYFUNCTION("SWITCH(REGEXEXTRACT(A54,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REGEXEXTRACT(A54, "&amp;"""-[SML23](.*)""))"),"Marine")</f>
        <v>Marine</v>
      </c>
      <c r="X54" s="6" t="s">
        <v>217</v>
      </c>
      <c r="AA54" s="5" t="str">
        <f>IFERROR(__xludf.DUMMYFUNCTION("SWITCH(REGEXEXTRACT(X54, ""-(.)""), ""S"", ""S"", ""M"", ""M"", ""L"", ""L"", ""2"", ""Lot de 2 (à préciser SM ou SL)"", ""3"", ""Lot de 3"", ""Taille non reconnue"")"),"S")</f>
        <v>S</v>
      </c>
    </row>
    <row r="55" ht="22.5" customHeight="1">
      <c r="A55" s="3" t="s">
        <v>218</v>
      </c>
      <c r="B55" s="4" t="s">
        <v>37</v>
      </c>
      <c r="D55" s="5" t="str">
        <f>IFERROR(__xludf.DUMMYFUNCTION("SWITCH(REGEXEXTRACT(A55, ""-(.)""), ""S"", ""S"", ""M"", ""M"", ""L"", ""L"", ""2"", ""Lot de 2 (à préciser SM ou SL)"", ""3"", ""Lot de 3"", ""Taille non reconnue"")"),"S")</f>
        <v>S</v>
      </c>
      <c r="E55" s="5" t="str">
        <f>IFERROR(__xludf.DUMMYFUNCTION("SWITCH(REGEXEXTRACT(A55,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REGEXEXTRACT(A55, "&amp;"""-[SML23](.*)""))"),"Orange")</f>
        <v>Orange</v>
      </c>
      <c r="X55" s="6" t="s">
        <v>219</v>
      </c>
      <c r="AA55" s="5" t="str">
        <f>IFERROR(__xludf.DUMMYFUNCTION("SWITCH(REGEXEXTRACT(X55, ""-(.)""), ""S"", ""S"", ""M"", ""M"", ""L"", ""L"", ""2"", ""Lot de 2 (à préciser SM ou SL)"", ""3"", ""Lot de 3"", ""Taille non reconnue"")"),"S")</f>
        <v>S</v>
      </c>
    </row>
    <row r="56" ht="22.5" customHeight="1">
      <c r="A56" s="3" t="s">
        <v>220</v>
      </c>
      <c r="B56" s="4" t="s">
        <v>69</v>
      </c>
      <c r="D56" s="5" t="str">
        <f>IFERROR(__xludf.DUMMYFUNCTION("SWITCH(REGEXEXTRACT(A56, ""-(.)""), ""S"", ""S"", ""M"", ""M"", ""L"", ""L"", ""2"", ""Lot de 2 (à préciser SM ou SL)"", ""3"", ""Lot de 3"", ""Taille non reconnue"")"),"S")</f>
        <v>S</v>
      </c>
      <c r="E56" s="5" t="str">
        <f>IFERROR(__xludf.DUMMYFUNCTION("SWITCH(REGEXEXTRACT(A56,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REGEXEXTRACT(A56, "&amp;"""-[SML23](.*)""))"),"Rouge")</f>
        <v>Rouge</v>
      </c>
    </row>
    <row r="57" ht="22.5" customHeight="1">
      <c r="A57" s="3" t="s">
        <v>221</v>
      </c>
      <c r="B57" s="4" t="s">
        <v>69</v>
      </c>
      <c r="C57" s="8" t="s">
        <v>222</v>
      </c>
      <c r="D57" s="5" t="str">
        <f>IFERROR(__xludf.DUMMYFUNCTION("SWITCH(REGEXEXTRACT(A57, ""-(.)""), ""S"", ""S"", ""M"", ""M"", ""L"", ""L"", ""2"", ""Lot de 2 (à préciser SM ou SL)"", ""3"", ""Lot de 3"", ""Taille non reconnue"")"),"S")</f>
        <v>S</v>
      </c>
      <c r="E57" s="5" t="str">
        <f>IFERROR(__xludf.DUMMYFUNCTION("SWITCH(REGEXEXTRACT(A57,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REGEXEXTRACT(A57, "&amp;"""-[SML23](.*)""))"),"Rouge patou")</f>
        <v>Rouge patou</v>
      </c>
    </row>
    <row r="58" ht="22.5" customHeight="1">
      <c r="A58" s="3" t="s">
        <v>223</v>
      </c>
      <c r="B58" s="4" t="s">
        <v>74</v>
      </c>
      <c r="D58" s="5" t="str">
        <f>IFERROR(__xludf.DUMMYFUNCTION("SWITCH(REGEXEXTRACT(A58, ""-(.)""), ""S"", ""S"", ""M"", ""M"", ""L"", ""L"", ""2"", ""Lot de 2 (à préciser SM ou SL)"", ""3"", ""Lot de 3"", ""Taille non reconnue"")"),"S")</f>
        <v>S</v>
      </c>
      <c r="E58" s="5" t="str">
        <f>IFERROR(__xludf.DUMMYFUNCTION("SWITCH(REGEXEXTRACT(A58,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REGEXEXTRACT(A58, "&amp;"""-[SML23](.*)""))"),"Sapin")</f>
        <v>Sapin</v>
      </c>
    </row>
    <row r="59" ht="22.5" customHeight="1">
      <c r="A59" s="3" t="s">
        <v>224</v>
      </c>
      <c r="B59" s="4" t="s">
        <v>80</v>
      </c>
      <c r="D59" s="5" t="str">
        <f>IFERROR(__xludf.DUMMYFUNCTION("SWITCH(REGEXEXTRACT(A59, ""-(.)""), ""S"", ""S"", ""M"", ""M"", ""L"", ""L"", ""2"", ""Lot de 2 (à préciser SM ou SL)"", ""3"", ""Lot de 3"", ""Taille non reconnue"")"),"S")</f>
        <v>S</v>
      </c>
      <c r="E59" s="5" t="str">
        <f>IFERROR(__xludf.DUMMYFUNCTION("SWITCH(REGEXEXTRACT(A59,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REGEXEXTRACT(A59, "&amp;"""-[SML23](.*)""))"),"Argent")</f>
        <v>Argent</v>
      </c>
    </row>
    <row r="60" ht="22.5" customHeight="1">
      <c r="A60" s="3" t="s">
        <v>225</v>
      </c>
      <c r="B60" s="4" t="s">
        <v>83</v>
      </c>
      <c r="D60" s="5" t="str">
        <f>IFERROR(__xludf.DUMMYFUNCTION("SWITCH(REGEXEXTRACT(A60, ""-(.)""), ""S"", ""S"", ""M"", ""M"", ""L"", ""L"", ""2"", ""Lot de 2 (à préciser SM ou SL)"", ""3"", ""Lot de 3"", ""Taille non reconnue"")"),"S")</f>
        <v>S</v>
      </c>
      <c r="E60" s="5" t="str">
        <f>IFERROR(__xludf.DUMMYFUNCTION("SWITCH(REGEXEXTRACT(A60, ""-[SML23](.*)""), ""DYLW"", ""Dark yellow"", ""DYWL"", ""Dark yellow"", ""BLU"", ""Bleu"", ""BLEU"", ""Bleu"", ""BLEUL"", ""Bleu"", ""BLUK"", ""Bleu Klein"", ""ORA"", ""Orange"", ""DORA"", ""Orange"", ""REDP"", ""Rouge patou"", "&amp;"""RED"", ""Rouge"", ""DRE"", ""Dark red"", ""VEU"", ""Vert d'eau"", ""BLK"", ""Noir"", ""WHT"", ""Blanc"", ""NAV"", ""Marine"", ""CHA"", ""Champagne"", ""FSH"", ""Fuschia"", ""MIN"", ""Menthe"", ""SAP"", ""Sapin"", ""SLV"", ""Argent"", REGEXEXTRACT(A60, "&amp;"""-[SML23](.*)""))"),"Vert d'eau")</f>
        <v>Vert d'eau</v>
      </c>
    </row>
  </sheetData>
  <hyperlinks>
    <hyperlink r:id="rId1" ref="B2"/>
    <hyperlink r:id="rId2" ref="H2"/>
    <hyperlink r:id="rId3" ref="B3"/>
    <hyperlink r:id="rId4" ref="H3"/>
    <hyperlink r:id="rId5" ref="N3"/>
    <hyperlink r:id="rId6" ref="B4"/>
    <hyperlink r:id="rId7" ref="H4"/>
    <hyperlink r:id="rId8" ref="N4"/>
    <hyperlink r:id="rId9" ref="B5"/>
    <hyperlink r:id="rId10" ref="H5"/>
    <hyperlink r:id="rId11" ref="N5"/>
    <hyperlink r:id="rId12" ref="B6"/>
    <hyperlink r:id="rId13" ref="H6"/>
    <hyperlink r:id="rId14" ref="B7"/>
    <hyperlink r:id="rId15" ref="H7"/>
    <hyperlink r:id="rId16" ref="B8"/>
    <hyperlink r:id="rId17" ref="H8"/>
    <hyperlink r:id="rId18" ref="B9"/>
    <hyperlink r:id="rId19" ref="H9"/>
    <hyperlink r:id="rId20" ref="N9"/>
    <hyperlink r:id="rId21" ref="B10"/>
    <hyperlink r:id="rId22" ref="H10"/>
    <hyperlink r:id="rId23" ref="B11"/>
    <hyperlink r:id="rId24" ref="H11"/>
    <hyperlink r:id="rId25" ref="N11"/>
    <hyperlink r:id="rId26" ref="B12"/>
    <hyperlink r:id="rId27" ref="H12"/>
    <hyperlink r:id="rId28" ref="N12"/>
    <hyperlink r:id="rId29" ref="B13"/>
    <hyperlink r:id="rId30" ref="H13"/>
    <hyperlink r:id="rId31" ref="N13"/>
    <hyperlink r:id="rId32" ref="B14"/>
    <hyperlink r:id="rId33" ref="H14"/>
    <hyperlink r:id="rId34" ref="N14"/>
    <hyperlink r:id="rId35" ref="B15"/>
    <hyperlink r:id="rId36" ref="H15"/>
    <hyperlink r:id="rId37" ref="N15"/>
    <hyperlink r:id="rId38" ref="B16"/>
    <hyperlink r:id="rId39" ref="H16"/>
    <hyperlink r:id="rId40" ref="N16"/>
    <hyperlink r:id="rId41" ref="B17"/>
    <hyperlink r:id="rId42" ref="H17"/>
    <hyperlink r:id="rId43" ref="N17"/>
    <hyperlink r:id="rId44" ref="B18"/>
    <hyperlink r:id="rId45" ref="H18"/>
    <hyperlink r:id="rId46" ref="N18"/>
    <hyperlink r:id="rId47" ref="B19"/>
    <hyperlink r:id="rId48" ref="H19"/>
    <hyperlink r:id="rId49" ref="N19"/>
    <hyperlink r:id="rId50" ref="B20"/>
    <hyperlink r:id="rId51" ref="H20"/>
    <hyperlink r:id="rId52" ref="N20"/>
    <hyperlink r:id="rId53" ref="B21"/>
    <hyperlink r:id="rId54" ref="H21"/>
    <hyperlink r:id="rId55" ref="N21"/>
    <hyperlink r:id="rId56" ref="B22"/>
    <hyperlink r:id="rId57" ref="N22"/>
    <hyperlink r:id="rId58" ref="B23"/>
    <hyperlink r:id="rId59" ref="N23"/>
    <hyperlink r:id="rId60" ref="B24"/>
    <hyperlink r:id="rId61" ref="B25"/>
    <hyperlink r:id="rId62" ref="B26"/>
    <hyperlink r:id="rId63" ref="B27"/>
    <hyperlink r:id="rId64" ref="N27"/>
    <hyperlink r:id="rId65" ref="B28"/>
    <hyperlink r:id="rId66" ref="N28"/>
    <hyperlink r:id="rId67" ref="B29"/>
    <hyperlink r:id="rId68" ref="N29"/>
    <hyperlink r:id="rId69" ref="B30"/>
    <hyperlink r:id="rId70" ref="N30"/>
    <hyperlink r:id="rId71" ref="B31"/>
    <hyperlink r:id="rId72" ref="B32"/>
    <hyperlink r:id="rId73" ref="B33"/>
    <hyperlink r:id="rId74" ref="B34"/>
    <hyperlink r:id="rId75" ref="B35"/>
    <hyperlink r:id="rId76" ref="B36"/>
    <hyperlink r:id="rId77" ref="B37"/>
    <hyperlink r:id="rId78" ref="B38"/>
    <hyperlink r:id="rId79" ref="B39"/>
    <hyperlink r:id="rId80" ref="B40"/>
    <hyperlink r:id="rId81" ref="B41"/>
    <hyperlink r:id="rId82" ref="B42"/>
    <hyperlink r:id="rId83" ref="B43"/>
    <hyperlink r:id="rId84" ref="B44"/>
    <hyperlink r:id="rId85" ref="B45"/>
    <hyperlink r:id="rId86" ref="B46"/>
    <hyperlink r:id="rId87" ref="B47"/>
    <hyperlink r:id="rId88" ref="B48"/>
    <hyperlink r:id="rId89" ref="B49"/>
    <hyperlink r:id="rId90" ref="B50"/>
    <hyperlink r:id="rId91" ref="B51"/>
    <hyperlink r:id="rId92" ref="B52"/>
    <hyperlink r:id="rId93" ref="B53"/>
    <hyperlink r:id="rId94" ref="B54"/>
    <hyperlink r:id="rId95" ref="B55"/>
    <hyperlink r:id="rId96" ref="B56"/>
    <hyperlink r:id="rId97" ref="B57"/>
    <hyperlink r:id="rId98" ref="B58"/>
    <hyperlink r:id="rId99" ref="B59"/>
    <hyperlink r:id="rId100" ref="B60"/>
  </hyperlinks>
  <drawing r:id="rId101"/>
  <tableParts count="5">
    <tablePart r:id="rId107"/>
    <tablePart r:id="rId108"/>
    <tablePart r:id="rId109"/>
    <tablePart r:id="rId110"/>
    <tablePart r:id="rId111"/>
  </tableParts>
</worksheet>
</file>